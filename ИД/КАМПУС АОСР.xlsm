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Q:\git\KampusK\ИД\"/>
    </mc:Choice>
  </mc:AlternateContent>
  <xr:revisionPtr revIDLastSave="0" documentId="8_{6F4FEB17-48FE-4FEF-8612-F7063DB7B7B3}" xr6:coauthVersionLast="37" xr6:coauthVersionMax="37" xr10:uidLastSave="{00000000-0000-0000-0000-000000000000}"/>
  <bookViews>
    <workbookView xWindow="-105" yWindow="-105" windowWidth="23250" windowHeight="12450" activeTab="2" xr2:uid="{00000000-000D-0000-FFFF-FFFF00000000}"/>
  </bookViews>
  <sheets>
    <sheet name="Инфо" sheetId="4" r:id="rId1"/>
    <sheet name="Работы" sheetId="2" r:id="rId2"/>
    <sheet name="АКТ" sheetId="3" r:id="rId3"/>
    <sheet name="Спецификация арм." sheetId="9" state="hidden" r:id="rId4"/>
    <sheet name="Лист3" sheetId="13" state="hidden" r:id="rId5"/>
    <sheet name="Лист2" sheetId="7" state="hidden" r:id="rId6"/>
    <sheet name="Лист5" sheetId="12" state="hidden" r:id="rId7"/>
    <sheet name="Лист2 (2)" sheetId="11" state="hidden" r:id="rId8"/>
    <sheet name="ВК" sheetId="5" state="hidden" r:id="rId9"/>
    <sheet name="Лист1" sheetId="6" state="hidden" r:id="rId10"/>
    <sheet name="Лист4" sheetId="14" state="hidden" r:id="rId11"/>
    <sheet name="Лист6" sheetId="15" state="hidden" r:id="rId12"/>
  </sheets>
  <functionGroups builtInGroupCount="19"/>
  <definedNames>
    <definedName name="_xlnm._FilterDatabase" localSheetId="1" hidden="1">Работы!$E$1:$E$78</definedName>
    <definedName name="ВКГОСТ">Работы!#REF!</definedName>
    <definedName name="ВКДанныеОПроекте">Работы!#REF!</definedName>
    <definedName name="ВКДатаВК">Работы!#REF!</definedName>
    <definedName name="ВКДокКач">Работы!#REF!</definedName>
    <definedName name="ВККолМатер">Работы!#REF!</definedName>
    <definedName name="ВКНаимМатер">Работы!#REF!</definedName>
    <definedName name="ВКНомерВК">Работы!#REF!</definedName>
    <definedName name="ВКУчасток">Работы!#REF!</definedName>
    <definedName name="ВыпРаботы">Работы!$E$3</definedName>
    <definedName name="ДатаЗавершения">Работы!$C$3</definedName>
    <definedName name="ДатаНачала">Работы!$B$3</definedName>
    <definedName name="ИспМатериал">Работы!$G$3</definedName>
    <definedName name="НомерАкта">Работы!$A$3</definedName>
    <definedName name="Нормативка">Работы!$J$3</definedName>
    <definedName name="_xlnm.Print_Area" localSheetId="2">АКТ!$A$1:$L$112</definedName>
    <definedName name="_xlnm.Print_Area" localSheetId="8">ВК!$A$1:$K$61</definedName>
    <definedName name="Письма">Работы!$K$3</definedName>
    <definedName name="ПоследРаботы">Работы!$F$3</definedName>
    <definedName name="ПрилДок">Работы!$I$3</definedName>
    <definedName name="Проект">Работы!$H$3</definedName>
    <definedName name="Раздел">Работы!$D$3</definedName>
  </definedNames>
  <calcPr calcId="179021"/>
</workbook>
</file>

<file path=xl/calcChain.xml><?xml version="1.0" encoding="utf-8"?>
<calcChain xmlns="http://schemas.openxmlformats.org/spreadsheetml/2006/main">
  <c r="I7" i="2" l="1"/>
  <c r="I6" i="2"/>
  <c r="I5" i="2"/>
  <c r="I4" i="2"/>
  <c r="I3" i="2"/>
  <c r="I430" i="15" l="1"/>
  <c r="I429" i="15"/>
  <c r="I428" i="15"/>
  <c r="I427" i="15"/>
  <c r="I420" i="15"/>
  <c r="I419" i="15"/>
  <c r="I418" i="15"/>
  <c r="I417" i="15"/>
  <c r="I415" i="15"/>
  <c r="I414" i="15"/>
  <c r="I413" i="15"/>
  <c r="I412" i="15"/>
  <c r="I277" i="15"/>
  <c r="I274" i="15"/>
  <c r="I260" i="15"/>
  <c r="I259" i="15"/>
  <c r="I258" i="15"/>
  <c r="I257" i="15"/>
  <c r="I256" i="15"/>
  <c r="I255" i="15"/>
  <c r="I254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6" i="15"/>
  <c r="I225" i="15"/>
  <c r="I224" i="15"/>
  <c r="I223" i="15"/>
  <c r="I221" i="15"/>
  <c r="I220" i="15"/>
  <c r="I219" i="15"/>
  <c r="I218" i="15"/>
  <c r="M217" i="15"/>
  <c r="L217" i="15"/>
  <c r="I217" i="15"/>
  <c r="I216" i="15"/>
  <c r="I215" i="15"/>
  <c r="I214" i="15"/>
  <c r="I213" i="15"/>
  <c r="I212" i="15"/>
  <c r="I211" i="15"/>
  <c r="I209" i="15"/>
  <c r="I208" i="15"/>
  <c r="I207" i="15"/>
  <c r="I206" i="15"/>
  <c r="I205" i="15"/>
  <c r="I199" i="15"/>
  <c r="I198" i="15"/>
  <c r="I197" i="15"/>
  <c r="I196" i="15"/>
  <c r="I195" i="15"/>
  <c r="I194" i="15"/>
  <c r="I193" i="15"/>
  <c r="I191" i="15"/>
  <c r="I190" i="15"/>
  <c r="I189" i="15"/>
  <c r="I187" i="15"/>
  <c r="I186" i="15"/>
  <c r="I185" i="15"/>
  <c r="I184" i="15"/>
  <c r="I183" i="15"/>
  <c r="I182" i="15"/>
  <c r="I181" i="15"/>
  <c r="I180" i="15"/>
  <c r="I179" i="15"/>
  <c r="I178" i="15"/>
  <c r="I176" i="15"/>
  <c r="I175" i="15"/>
  <c r="I174" i="15"/>
  <c r="I173" i="15"/>
  <c r="I172" i="15"/>
  <c r="I171" i="15"/>
  <c r="I170" i="15"/>
  <c r="I169" i="15"/>
  <c r="I167" i="15"/>
  <c r="I166" i="15"/>
  <c r="R165" i="15"/>
  <c r="M165" i="15"/>
  <c r="L165" i="15"/>
  <c r="I165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49" i="15"/>
  <c r="I148" i="15"/>
  <c r="I147" i="15"/>
  <c r="I146" i="15"/>
  <c r="I145" i="15"/>
  <c r="I144" i="15"/>
  <c r="I143" i="15"/>
  <c r="R142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3" i="15"/>
  <c r="I22" i="15"/>
  <c r="I21" i="15"/>
  <c r="I19" i="15"/>
  <c r="I18" i="15"/>
  <c r="I17" i="15"/>
  <c r="I15" i="15"/>
  <c r="I14" i="15"/>
  <c r="I13" i="15"/>
  <c r="I11" i="15"/>
  <c r="I10" i="15"/>
  <c r="I9" i="15"/>
  <c r="I8" i="15"/>
  <c r="I7" i="15"/>
  <c r="I6" i="15"/>
  <c r="I5" i="15"/>
  <c r="I4" i="15"/>
  <c r="A64" i="3" l="1"/>
  <c r="G66" i="3"/>
  <c r="A8" i="3" l="1"/>
  <c r="A95" i="3" l="1"/>
  <c r="A98" i="3"/>
  <c r="A54" i="3"/>
  <c r="F11" i="13" l="1"/>
  <c r="G8" i="13"/>
  <c r="G6" i="13"/>
  <c r="H8" i="13"/>
  <c r="G9" i="13"/>
  <c r="H9" i="13" s="1"/>
  <c r="G7" i="13"/>
  <c r="H7" i="13" s="1"/>
  <c r="G5" i="13"/>
  <c r="H5" i="13" s="1"/>
  <c r="G10" i="13" l="1"/>
  <c r="G12" i="13"/>
  <c r="G10" i="12" l="1"/>
  <c r="F12" i="12"/>
  <c r="D79" i="3" l="1"/>
  <c r="G9" i="12" l="1"/>
  <c r="G8" i="12"/>
  <c r="G7" i="12"/>
  <c r="G6" i="12"/>
  <c r="C90" i="3" l="1"/>
  <c r="A72" i="3" l="1"/>
  <c r="A68" i="3" l="1"/>
  <c r="I63" i="3" l="1"/>
  <c r="D26" i="5" l="1"/>
  <c r="F14" i="5" l="1"/>
  <c r="G9" i="5"/>
  <c r="A75" i="3" l="1"/>
  <c r="A110" i="3" l="1"/>
  <c r="F55" i="5" l="1"/>
  <c r="F53" i="5"/>
  <c r="F51" i="5"/>
  <c r="D20" i="5"/>
  <c r="D18" i="5"/>
  <c r="D16" i="5"/>
  <c r="C3" i="5" l="1"/>
  <c r="G4" i="5"/>
  <c r="D28" i="5" l="1"/>
  <c r="B24" i="5"/>
  <c r="D36" i="5" s="1"/>
  <c r="D42" i="5"/>
  <c r="A30" i="3" l="1"/>
  <c r="A56" i="3" l="1"/>
  <c r="G86" i="3" l="1"/>
  <c r="A83" i="3"/>
  <c r="F81" i="3"/>
  <c r="D80" i="3"/>
  <c r="K25" i="3"/>
  <c r="A25" i="3"/>
  <c r="J51" i="5" l="1"/>
  <c r="J53" i="5" s="1"/>
  <c r="E43" i="5"/>
  <c r="E48" i="5" l="1"/>
  <c r="J55" i="5"/>
  <c r="A107" i="3" l="1"/>
  <c r="A101" i="3"/>
  <c r="F60" i="3"/>
  <c r="A49" i="3"/>
  <c r="A41" i="3"/>
  <c r="A39" i="3"/>
  <c r="A36" i="3"/>
  <c r="D28" i="3"/>
  <c r="A18" i="3"/>
  <c r="A20" i="3"/>
  <c r="A17" i="3"/>
  <c r="A14" i="3"/>
  <c r="A12" i="3"/>
  <c r="A11" i="3"/>
  <c r="A6" i="3"/>
  <c r="A3" i="3"/>
</calcChain>
</file>

<file path=xl/sharedStrings.xml><?xml version="1.0" encoding="utf-8"?>
<sst xmlns="http://schemas.openxmlformats.org/spreadsheetml/2006/main" count="3599" uniqueCount="1441">
  <si>
    <t xml:space="preserve">                                                                                                                    РД-11-02-2006
                                                                                                            (Приложение №3) 
к Требованиям к составу и порядку ведения исполнительной документации при строительстве, реконструкции, капитальном ремонте объектов капитального строительства и требования, предъявляемые к актам освидетельствования работ, конструкций, участков сетей инженерно-технического обеспечения, утв. приказом Федеральной службы по экологическому, технологическому и атомному надзору от 26 декабря 2006 г. N 1128</t>
  </si>
  <si>
    <t xml:space="preserve">Объект капитального строительства: </t>
  </si>
  <si>
    <t>(наименование проектной документации, почтовый или строительный адрес объекта капитального строительства)</t>
  </si>
  <si>
    <t xml:space="preserve">Застройщик (технический заказчик, эксплуатирующая организация или региональный оператор): </t>
  </si>
  <si>
    <t>(наименование, ОГРН, ИНН, место нахождения, юридического лица, телефон/факс,</t>
  </si>
  <si>
    <t>наименование, ОГРН, ИНН саморегулируемой организации, членом которой является - для индивидуальных предпринимателей и юридических лиц</t>
  </si>
  <si>
    <t xml:space="preserve">Лицо, осуществляющее строительство: </t>
  </si>
  <si>
    <t>наименование, ОГРН, ИНН саморегулируемой организации, членом которой является)</t>
  </si>
  <si>
    <t>Лицо, осуществляющее подготовку проектной документации:</t>
  </si>
  <si>
    <t xml:space="preserve">Акт </t>
  </si>
  <si>
    <t>освидетельствования скрытых работ</t>
  </si>
  <si>
    <t>(дата составления акта)</t>
  </si>
  <si>
    <t>(должность, фамилия, инициалы, идентификационный номер в национальном реестре специалистов в области строительства³, реквизиты распорядительного документа,</t>
  </si>
  <si>
    <t>ИНН индивидуального предпринимателя)</t>
  </si>
  <si>
    <r>
      <t>Представитель лица, осуществляющего строительство:</t>
    </r>
    <r>
      <rPr>
        <i/>
        <sz val="11"/>
        <color theme="1"/>
        <rFont val="Times New Roman"/>
        <family val="1"/>
        <charset val="204"/>
      </rPr>
      <t xml:space="preserve"> </t>
    </r>
  </si>
  <si>
    <t>(должность, фамилия, инициалы, реквизиты распорядительного документа, подтверждающие полномочия)</t>
  </si>
  <si>
    <t>(должность, фамилия, инициалы, идентификационный номер в национальном реестре специалистов в области строительства, реквизиты распорядительного</t>
  </si>
  <si>
    <t xml:space="preserve"> документа, подтверждающие полномочия)</t>
  </si>
  <si>
    <t>Представитель лица, выполнившего работы, подлежащие освидетельствованию:</t>
  </si>
  <si>
    <t xml:space="preserve">(должность, фамилия, инициалы, реквизиты распорядительного документа, подтверждающие полномочия, </t>
  </si>
  <si>
    <t>с указанием наименования, ОГРН, ИНН, места  нахождения юридического лица)</t>
  </si>
  <si>
    <t xml:space="preserve">а также иные представители лиц, участвующих в освидетельствовании: </t>
  </si>
  <si>
    <t>(должность с указанием наименования организации, фамилия, инициалы, реквизиты распорядительного документа, подтверждающие полномочия)</t>
  </si>
  <si>
    <t>(наименование лица, выполнившего работы, подлежащие освидетельствованию)</t>
  </si>
  <si>
    <t>и составили настоящий акт о нижеследующем:</t>
  </si>
  <si>
    <t xml:space="preserve">1. К освидетельствованию предъявлены следующие работы:  </t>
  </si>
  <si>
    <t>(наименование скрытых работ)</t>
  </si>
  <si>
    <t xml:space="preserve">  2.Работы выполнены по проектной документации:</t>
  </si>
  <si>
    <t xml:space="preserve"> (номер, другие реквизиты чертежа, наименование проектной и/или рабочей документации,</t>
  </si>
  <si>
    <t>сведения о лицах, осуществляющих подготовку раздела  проектной и/или рабочей документации)</t>
  </si>
  <si>
    <t xml:space="preserve">(наименование строительных материалов (изделий), </t>
  </si>
  <si>
    <t>реквизиты сертификатов и/или других документов, подтверждающих их качество и безопасность)</t>
  </si>
  <si>
    <t>4. Предъявлены документы, подтверждающие соответствие работ предъявляемым к ним требованиям:</t>
  </si>
  <si>
    <t>(исполнительные схемы и чертежи, результаты экспертиз, обследований, лабораторных и иных</t>
  </si>
  <si>
    <t>испытаний выполненных работ, проведенных в процессе строительного контроля)</t>
  </si>
  <si>
    <t xml:space="preserve">5. Даты:           </t>
  </si>
  <si>
    <t>Начала работ:</t>
  </si>
  <si>
    <t>Окончания работ:</t>
  </si>
  <si>
    <t xml:space="preserve">6. Работы выполнены в соответствии с: </t>
  </si>
  <si>
    <t xml:space="preserve">(наименования и структурные единицы технических регламентов, </t>
  </si>
  <si>
    <t>иных нормативных правовых актов, разделы проектной и/или рабочей документации)</t>
  </si>
  <si>
    <t>7. Разрешается производство последующих работ</t>
  </si>
  <si>
    <t xml:space="preserve"> (наименование работ,  конструкций, участков сетей инженерно-технического обеспечения)</t>
  </si>
  <si>
    <t>Дополнительные сведения :</t>
  </si>
  <si>
    <t>Акт составлен в 3 экземплярах.</t>
  </si>
  <si>
    <t>Приложения:</t>
  </si>
  <si>
    <t>исполнительные схемы и чертежи, результаты экспертиз, обследований, лабораторных и иных испытаний)</t>
  </si>
  <si>
    <r>
      <t xml:space="preserve">Представитель застройщика (технического заказчика, эксплуатирующей организации или регионального оператора)
по вопросам строительного контроля: </t>
    </r>
    <r>
      <rPr>
        <i/>
        <sz val="11"/>
        <color theme="1"/>
        <rFont val="Times New Roman"/>
        <family val="1"/>
        <charset val="204"/>
      </rPr>
      <t xml:space="preserve">                                   </t>
    </r>
  </si>
  <si>
    <t>(фамилия, инициалы, подпись)</t>
  </si>
  <si>
    <t xml:space="preserve">Представитель лица, осуществляющего строительство:                      </t>
  </si>
  <si>
    <r>
      <t>Представитель лица, осуществляющего строительство, по вопросам строительного контроля (специалист по 
организации строительства):</t>
    </r>
    <r>
      <rPr>
        <i/>
        <sz val="11"/>
        <color theme="1"/>
        <rFont val="Times New Roman"/>
        <family val="1"/>
        <charset val="204"/>
      </rPr>
      <t xml:space="preserve">  </t>
    </r>
  </si>
  <si>
    <t xml:space="preserve">Представители иных лиц: </t>
  </si>
  <si>
    <t>------</t>
  </si>
  <si>
    <t>№АОСР</t>
  </si>
  <si>
    <t>Дата начала</t>
  </si>
  <si>
    <t>Дата завершения</t>
  </si>
  <si>
    <t>Выполненные работы</t>
  </si>
  <si>
    <t>Используемый материал</t>
  </si>
  <si>
    <t>Данные о проекте</t>
  </si>
  <si>
    <t>Прилагаемые документы</t>
  </si>
  <si>
    <t>Объект</t>
  </si>
  <si>
    <t>Застройщик</t>
  </si>
  <si>
    <t>Подрядчик</t>
  </si>
  <si>
    <t>Проектант</t>
  </si>
  <si>
    <t>Кол-во материала</t>
  </si>
  <si>
    <t>ГОСТ</t>
  </si>
  <si>
    <t>Документ о качестве</t>
  </si>
  <si>
    <t>Раздел</t>
  </si>
  <si>
    <t xml:space="preserve">3. При выполнении работ применены:  </t>
  </si>
  <si>
    <t>Нормативка</t>
  </si>
  <si>
    <t>Последующие работы</t>
  </si>
  <si>
    <t>Заказчик</t>
  </si>
  <si>
    <t>Представитель лица, осуществляющего строительство, по вопросам строительного контроля</t>
  </si>
  <si>
    <t>СКК</t>
  </si>
  <si>
    <t>СК</t>
  </si>
  <si>
    <t>Организация</t>
  </si>
  <si>
    <r>
      <t>Представитель застройщика (технического заказчика, эксплуатирующей организации или регионального оператора) по вопросам</t>
    </r>
    <r>
      <rPr>
        <b/>
        <i/>
        <sz val="10"/>
        <color theme="1"/>
        <rFont val="Times New Roman"/>
        <family val="1"/>
        <charset val="204"/>
      </rPr>
      <t xml:space="preserve">                         </t>
    </r>
  </si>
  <si>
    <r>
      <t>Представитель лица, осуществляющего строительство, по вопросам строительного контроля (специалист по организации строительства):</t>
    </r>
    <r>
      <rPr>
        <b/>
        <i/>
        <sz val="10"/>
        <rFont val="Times New Roman"/>
        <family val="1"/>
        <charset val="204"/>
      </rPr>
      <t xml:space="preserve"> </t>
    </r>
  </si>
  <si>
    <t xml:space="preserve">произвели осмотр работ, выполненных:                       </t>
  </si>
  <si>
    <t>Подписанты</t>
  </si>
  <si>
    <t>Организации и должности</t>
  </si>
  <si>
    <t>Наименование строки</t>
  </si>
  <si>
    <t>Наименование материала</t>
  </si>
  <si>
    <t>№АОРПИ</t>
  </si>
  <si>
    <t xml:space="preserve">Министерство </t>
  </si>
  <si>
    <t>ВСН012-88</t>
  </si>
  <si>
    <r>
      <t>Объединение</t>
    </r>
    <r>
      <rPr>
        <u/>
        <sz val="8"/>
        <color theme="1"/>
        <rFont val="Times New Roman"/>
        <family val="1"/>
        <charset val="204"/>
      </rPr>
      <t xml:space="preserve"> </t>
    </r>
  </si>
  <si>
    <t>Миннефтегазстрой</t>
  </si>
  <si>
    <t xml:space="preserve">СМУ, СУ. ПМК. КТП     </t>
  </si>
  <si>
    <t>Участок:</t>
  </si>
  <si>
    <t>АКТ</t>
  </si>
  <si>
    <t>о результатах проверки изделий</t>
  </si>
  <si>
    <t>(виды изделий: трубы, детали, синтетические силовые пояса для балластирующих устройств)</t>
  </si>
  <si>
    <t>на соответствие техдокументации</t>
  </si>
  <si>
    <t>Составлен представителями:</t>
  </si>
  <si>
    <t>строительной организации</t>
  </si>
  <si>
    <t>(должность, организация, фамилия, инициалы)</t>
  </si>
  <si>
    <t>службы контроля качества</t>
  </si>
  <si>
    <t>заказчика</t>
  </si>
  <si>
    <t>в том, что произведён</t>
  </si>
  <si>
    <t>сплошной</t>
  </si>
  <si>
    <t>(сплошной, выборочный с выборкой)</t>
  </si>
  <si>
    <t>осмотр</t>
  </si>
  <si>
    <t>(наименование изделия)</t>
  </si>
  <si>
    <t>предназначенных проектом</t>
  </si>
  <si>
    <t>(номер проекта, чертежа, дата)</t>
  </si>
  <si>
    <t>для строительства на участке</t>
  </si>
  <si>
    <t>(наименование объекта)</t>
  </si>
  <si>
    <t>1. Осмотр геометрических размеров и маркировки</t>
  </si>
  <si>
    <t>(труб, деталей, силовых поясов и т.д.)</t>
  </si>
  <si>
    <t>совместно с проектом и сопроводительной документацией</t>
  </si>
  <si>
    <t>(паспортами, сертификатами)</t>
  </si>
  <si>
    <t xml:space="preserve">на изделия установлено, что </t>
  </si>
  <si>
    <t>(трубы, детали, силовые пояса и т.д.)</t>
  </si>
  <si>
    <t>по своим геометрическим размерам:</t>
  </si>
  <si>
    <t>(для труб указать диаметр, толщину стенки, для отводов мод изгиба, град и т.д.)</t>
  </si>
  <si>
    <t>и номеру технических условий, указанному на изделии</t>
  </si>
  <si>
    <t xml:space="preserve"> соответствует </t>
  </si>
  <si>
    <t>(соответсвует, не соответствует)</t>
  </si>
  <si>
    <t>проекту, рабочие чертежи</t>
  </si>
  <si>
    <t>2. Сопроводительная документация</t>
  </si>
  <si>
    <t>имеется в полном комплекте</t>
  </si>
  <si>
    <t>(паспорта, сертификаты)</t>
  </si>
  <si>
    <t>3. Характеристика механических свойств</t>
  </si>
  <si>
    <t xml:space="preserve">по данным  сопроводительной документации </t>
  </si>
  <si>
    <t xml:space="preserve">                                  (по данным сопроводительной документации, по необходимости результатам испытаний)</t>
  </si>
  <si>
    <t>соответствует требованиям проекта</t>
  </si>
  <si>
    <t xml:space="preserve">технических условий </t>
  </si>
  <si>
    <t>Представитель строительной организации</t>
  </si>
  <si>
    <t>(фамилия, инициалы, подпись, дата)</t>
  </si>
  <si>
    <t>Представитель службы контроля качества</t>
  </si>
  <si>
    <t>Представитель заказчика</t>
  </si>
  <si>
    <t xml:space="preserve"> </t>
  </si>
  <si>
    <t xml:space="preserve">Основание: </t>
  </si>
  <si>
    <t>от</t>
  </si>
  <si>
    <t>Дата АОРПИ</t>
  </si>
  <si>
    <t>Данные о проекте для  АОРПИ</t>
  </si>
  <si>
    <t>Лицо, осуществляющее строительство</t>
  </si>
  <si>
    <t>Представитель лица, выполнившего работы, подлежащие освидетельствованию.</t>
  </si>
  <si>
    <t>Арсланов А. А.</t>
  </si>
  <si>
    <t>Строительство: Сроительство</t>
  </si>
  <si>
    <t>ООО «Газпром газификация»</t>
  </si>
  <si>
    <t>Участок</t>
  </si>
  <si>
    <t>Фомин Д.В.</t>
  </si>
  <si>
    <t xml:space="preserve"> подтверждающие полномочия, с указанием наименования, ОГРН, ИНН, места нахождения юридического лица, фамилии, имени, отчества, адреса места жительства, ОРГНИП, </t>
  </si>
  <si>
    <t>ДЛЯ ВК</t>
  </si>
  <si>
    <t>Служба контроля качества</t>
  </si>
  <si>
    <t>Строительная организация</t>
  </si>
  <si>
    <t>строительного контроля:</t>
  </si>
  <si>
    <t>Начальник участка ООО «Нефтегазстрой» Арсланов А. А.</t>
  </si>
  <si>
    <t>Газопровод-отвод и ГРС с.п. Лопатино</t>
  </si>
  <si>
    <t>СНиП 12-03-2001 «Безопасность труда в строительстве. Ч/1 Общие требования»; СНиП 12-04-2002 «Безопасность труда в строительстве. Ч/2. Строительное производство»; СП 45.13330.2017 Земляные сооружения, основания и фундаменты.</t>
  </si>
  <si>
    <t>--</t>
  </si>
  <si>
    <t>СП 48.13330.2019 "Организация строительства"</t>
  </si>
  <si>
    <t>72-01-7353/500-13-63/313-1-ГРС.АС</t>
  </si>
  <si>
    <t>Устройство</t>
  </si>
  <si>
    <t>Устройство подготовки из щебня</t>
  </si>
  <si>
    <t>72-01-7353/500-13-63/313-1-ГРС.АС, лист 15</t>
  </si>
  <si>
    <t>72-01-7353/500-13-63/313-1-ГРС.АС, лист 11</t>
  </si>
  <si>
    <t>Армирование фундамента ФОМ 16</t>
  </si>
  <si>
    <t>Бетонирование фундамента</t>
  </si>
  <si>
    <t>обмазочная гидроизоляция фундамента</t>
  </si>
  <si>
    <t xml:space="preserve"> подготовки из бетона В 7,5  (1,13 м3) под фундамент ФОМ 15</t>
  </si>
  <si>
    <t>13-ГРС.АС</t>
  </si>
  <si>
    <t>72-01-7353/500-13-63/313-1-ГРС.АС, лист 8</t>
  </si>
  <si>
    <t>Армирование фундамента ФОМ 17</t>
  </si>
  <si>
    <t>72-01-7353/500-13-63/313-1-ГРС.АС лист 11</t>
  </si>
  <si>
    <t>14-ГРС.АС</t>
  </si>
  <si>
    <t>15-ГРС.АС</t>
  </si>
  <si>
    <t>16-ГРС.АС</t>
  </si>
  <si>
    <t>Устройство подготовки</t>
  </si>
  <si>
    <t>Армирование фундамента</t>
  </si>
  <si>
    <t>Устройство  подготовки</t>
  </si>
  <si>
    <t>Устройство бетонной подготовки</t>
  </si>
  <si>
    <t>Разработка сухого грунта</t>
  </si>
  <si>
    <t>под фундамент ФОМ 9 вручную в отвал (6,64 м3)</t>
  </si>
  <si>
    <t>под фундамент ФОМ 18 вручную в отвал (15,0 м3)</t>
  </si>
  <si>
    <t>под фундамент ФОМ 19 вручную в отвал (13,0 м3)</t>
  </si>
  <si>
    <t>Разработка грунта в выемке</t>
  </si>
  <si>
    <t>под фундамент ФОМ 20 вручную в отвал (6,91 м3)</t>
  </si>
  <si>
    <t>72-01-7353/500-13-63/313-1-ГРС.АС, лист 12</t>
  </si>
  <si>
    <t>72-01-7353/500-13-63/313-1-ГРС.АС, лист 13</t>
  </si>
  <si>
    <t>СП 48.13330.2019 "Организация строительства", СП 70.13330.2012 "Несущие и ограждающие конструкции"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</si>
  <si>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(36,4 кг), 12А400 (2273,76 кг) и устройство опалубки для нижней ступени фундамента (35,22 м2)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</si>
  <si>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(77,0 кг), 12А400 (2468,64 кг) и устройство опалубки для нижней ступени фундамента (35,22 м2)</t>
    </r>
  </si>
  <si>
    <t>Письма согласований</t>
  </si>
  <si>
    <t>Ведущий инженер по ССК ООО "Нефтегазстрой" Иванов Д.В.</t>
  </si>
  <si>
    <t>Иванов Д.В.</t>
  </si>
  <si>
    <t>Входной контроль произведен согласно требованиям НТД</t>
  </si>
  <si>
    <t>основания фундамента ФОМ 9 из щебня М400 пролитого битумом  (1,25 м3)</t>
  </si>
  <si>
    <t>Армирование фундамента ФОМ 9</t>
  </si>
  <si>
    <t>Бетонирование</t>
  </si>
  <si>
    <t>Гидроизоляция фундамента</t>
  </si>
  <si>
    <t>Армирование фундамента ФОМ 15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</si>
  <si>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(11,76 кг), 12А400 (733,76 кг) и устройство опалубки для нижней ступени фундамента</t>
    </r>
  </si>
  <si>
    <t>.</t>
  </si>
  <si>
    <t xml:space="preserve"> письмо согласования №04-02/2956 от 07.02.23г.</t>
  </si>
  <si>
    <t>Бетонирование нижней</t>
  </si>
  <si>
    <t>ступени фундамента ФОМ 16 бетон класса В20 W6 F150 (7,6 м3)</t>
  </si>
  <si>
    <t>17-ГРС.АС</t>
  </si>
  <si>
    <t>18-ГРС.АС</t>
  </si>
  <si>
    <t>19-ГРС.АС</t>
  </si>
  <si>
    <t>20-ГРС.АС</t>
  </si>
  <si>
    <t>21-ГРС.АС</t>
  </si>
  <si>
    <t>22-ГРС.АС</t>
  </si>
  <si>
    <t>23-ГРС.АС</t>
  </si>
  <si>
    <t>24-ГРС.АС</t>
  </si>
  <si>
    <t>72-01-7353/500-13-63/313-1-ГРС.АС, лист 4</t>
  </si>
  <si>
    <t>72-01-7353/500-13-63/313-1-ГРС.АС, лист 7</t>
  </si>
  <si>
    <t xml:space="preserve"> подготовки из бетона В 7,5  (1,6 м3) под фундамент ФОМ 1</t>
  </si>
  <si>
    <t xml:space="preserve"> подготовки из бетона В 7,5  (1,93 м3) под фундамент ФОМ 8</t>
  </si>
  <si>
    <t xml:space="preserve"> подготовки из бетона В 7,5  (1,1 м3) под фундамент ФОМ 9</t>
  </si>
  <si>
    <t xml:space="preserve"> подготовки из бетона В 7,5  (2,2 м3) под фундамент ФОМ 18</t>
  </si>
  <si>
    <t xml:space="preserve"> подготовки из бетона В 7,5  (1,9 м3) под фундамент ФОМ 19</t>
  </si>
  <si>
    <t xml:space="preserve"> подготовки из бетона В 7,5  (1,2 м3) под фундамент ФОМ 20</t>
  </si>
  <si>
    <t>72-01-7353/500-13-63/313-1-ГРС.АС, лист 16</t>
  </si>
  <si>
    <t>72-01-7353/500-13-63/313-1-ГРС.АС, лист 5</t>
  </si>
  <si>
    <t>72-01-7353/500-13-63/313-1-ГРС.АС, лист 6</t>
  </si>
  <si>
    <t xml:space="preserve"> подготовки из бетона В 7,5  (0,8 м3) под фундамент ФМ 9</t>
  </si>
  <si>
    <t xml:space="preserve"> подготовки из бетона В 7,5  (0,3 м3) под фундамент ФМ 10</t>
  </si>
  <si>
    <t xml:space="preserve"> подготовки из бетона В 7,5  (0,5 м3) под фундамент ФОМ 2</t>
  </si>
  <si>
    <t xml:space="preserve"> подготовки из бетона В 7,5  (0,81 м3) под фундамент ФОМ 5</t>
  </si>
  <si>
    <t>АОРПИ №1/АС от 19.01.23, паспорт №94 от 19.01.23 на щебень фр.20-40, АОРПИ №2/АС от 19.01.23 на битум БНД 60/90</t>
  </si>
  <si>
    <t>1Б</t>
  </si>
  <si>
    <t>Бетон БСД В-7,5</t>
  </si>
  <si>
    <t>Документ о качестве бетонной смеси №7347 от 27.01.2023</t>
  </si>
  <si>
    <t>ГОСТ 7473-2010</t>
  </si>
  <si>
    <t>под фундамент ФОМ 2 вручную в отвал (3,55 м3)</t>
  </si>
  <si>
    <t>25-ГРС.АС</t>
  </si>
  <si>
    <t>26-ГРС.АС</t>
  </si>
  <si>
    <t>основания фундамента ФОМ 2 из щебня М400 пролитого битумом  (0,6 м3)</t>
  </si>
  <si>
    <t>под фундамент ФОМ 5 вручную в отвал (5,19 м3)</t>
  </si>
  <si>
    <t>основания фундамента ФОМ 5 из щебня М400 пролитого битумом  (0,93 м3)</t>
  </si>
  <si>
    <t>основания фундамента ФМ 9 из щебня М400 пролитого битумом  (0,9 м3)</t>
  </si>
  <si>
    <t>основания фундамента ФМ 10 из щебня М400 пролитого битумом  (0,4 м3)</t>
  </si>
  <si>
    <t>27-ГРС.АС</t>
  </si>
  <si>
    <t>28-ГРС.АС</t>
  </si>
  <si>
    <t>29-ГРС.АС</t>
  </si>
  <si>
    <t>30-ГРС.АС</t>
  </si>
  <si>
    <t>31-ГРС.АС</t>
  </si>
  <si>
    <t>32-ГРС.АС</t>
  </si>
  <si>
    <t>33-ГРС.АС</t>
  </si>
  <si>
    <t>34-ГРС.АС</t>
  </si>
  <si>
    <t>35-ГРС.АС</t>
  </si>
  <si>
    <t>36-ГРС.АС</t>
  </si>
  <si>
    <t>37-ГРС.АС</t>
  </si>
  <si>
    <t>основания фундамента ФОМ 1 из щебня М400 пролитого битумом  (1,8 м3)</t>
  </si>
  <si>
    <t>основания фундамента ФОМ 8 из щебня М400 пролитого битумом  (2,11 м3)</t>
  </si>
  <si>
    <t>основания фундамента ФОМ 18 из щебня М400 пролитого битумом  (2,37 м3)</t>
  </si>
  <si>
    <t>основания фундамента ФОМ 20 из щебня М400 пролитого битумом  (1,36 м3)</t>
  </si>
  <si>
    <t>Армирование фундамента ФОМ 1</t>
  </si>
  <si>
    <t>Армирование фундамента ФОМ 8</t>
  </si>
  <si>
    <t>Армирование фундамента ФОМ 18</t>
  </si>
  <si>
    <t>Армирование фундамента ФОМ 19</t>
  </si>
  <si>
    <t>Армирование фундамента ФОМ 20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</si>
  <si>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(6,0 кг), 10А240 (32,16 кг), 12А400 (397,36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</si>
  <si>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(26,8 кг), 12А400 (316,75 кг) и устройство опалубки фундамента.</t>
    </r>
  </si>
  <si>
    <t>под фундамент ФмМ 1 - 1 шт. экскаватором (142,7 м3) с доработкой вручную (2,3 м3)</t>
  </si>
  <si>
    <t>основания фундамента ФмМ 1 - 1 шт. из щебня М400 пролитого битумом  (4,8 м3)</t>
  </si>
  <si>
    <t xml:space="preserve"> подготовки из бетона В 7,5  (3,4 м3) под резервур монолитный РМ 3</t>
  </si>
  <si>
    <t xml:space="preserve"> подготовки из бетона В 7,5  (2,2 м3) под резервур монолитный РМ 1</t>
  </si>
  <si>
    <t>основания монолитного резервуара РМ 3 из щебня М400 пролитого битумом  (7,4 м3)</t>
  </si>
  <si>
    <t>Устройство опалубки</t>
  </si>
  <si>
    <t>для верхней ступени фундамента ФОМ 17</t>
  </si>
  <si>
    <t>Бетонирование верхней</t>
  </si>
  <si>
    <t>72-01-7353/500-13-63/313-1-ГРС.АС, лист 18</t>
  </si>
  <si>
    <t>72-01-7353/500-13-63/313-1-ГРС.АС, лист 19</t>
  </si>
  <si>
    <t>72-01-7353/500-13-63/313-1-ГРС.АС, лист 21</t>
  </si>
  <si>
    <t>38-ГРС.АС</t>
  </si>
  <si>
    <t>39-ГРС.АС</t>
  </si>
  <si>
    <t>40-ГРС.АС</t>
  </si>
  <si>
    <t>41-ГРС.АС</t>
  </si>
  <si>
    <t>42-ГРС.АС</t>
  </si>
  <si>
    <t>43-ГРС.АС</t>
  </si>
  <si>
    <t>44-ГРС.АС</t>
  </si>
  <si>
    <t>45-ГРС.АС</t>
  </si>
  <si>
    <t>46-ГРС.АС</t>
  </si>
  <si>
    <t>47-ГРС.АС</t>
  </si>
  <si>
    <t>48-ГРС.АС</t>
  </si>
  <si>
    <t>49-ГРС.АС</t>
  </si>
  <si>
    <t>50-ГРС.АС</t>
  </si>
  <si>
    <t>51-ГРС.АС</t>
  </si>
  <si>
    <t>52-ГРС.АС</t>
  </si>
  <si>
    <t>53-ГРС.АС</t>
  </si>
  <si>
    <t>54-ГРС.АС</t>
  </si>
  <si>
    <t>55-ГРС.АС</t>
  </si>
  <si>
    <t>56-ГРС.АС</t>
  </si>
  <si>
    <t>57-ГРС.АС</t>
  </si>
  <si>
    <t>58-ГРС.АС</t>
  </si>
  <si>
    <t>59-ГРС.АС</t>
  </si>
  <si>
    <t>60-ГРС.АС</t>
  </si>
  <si>
    <t>61-ГРС.АС</t>
  </si>
  <si>
    <t>62-ГРС.АС</t>
  </si>
  <si>
    <t>63-ГРС.АС</t>
  </si>
  <si>
    <t>64-ГРС.АС</t>
  </si>
  <si>
    <t>65-ГРС.АС</t>
  </si>
  <si>
    <t>66-ГРС.АС</t>
  </si>
  <si>
    <t>67-ГРС.АС</t>
  </si>
  <si>
    <t>68-ГРС.АС</t>
  </si>
  <si>
    <t>69-ГРС.АС</t>
  </si>
  <si>
    <t>70-ГРС.АС</t>
  </si>
  <si>
    <t>71-ГРС.АС</t>
  </si>
  <si>
    <t>2Б</t>
  </si>
  <si>
    <t>2,0 м3</t>
  </si>
  <si>
    <t>Документ о качестве бетонной смеси №7471 от 01.02.2023</t>
  </si>
  <si>
    <t>3Б</t>
  </si>
  <si>
    <t>4Б</t>
  </si>
  <si>
    <t>14,0 м3</t>
  </si>
  <si>
    <t>11,0 м3</t>
  </si>
  <si>
    <t>Документ о качестве бетонной смеси №7575 от 08.02.2023</t>
  </si>
  <si>
    <t>Бетон БСД В20 F150 W6</t>
  </si>
  <si>
    <t>5Б</t>
  </si>
  <si>
    <t>Документ о качестве бетонной смеси №7618 от 09.02.2023</t>
  </si>
  <si>
    <t>6Б</t>
  </si>
  <si>
    <t>Документ о качестве бетонной смеси №7658 от 11.02.2023</t>
  </si>
  <si>
    <t>АОРПИ №4Б от 01.02.23, паспорт бетонной смеси №7471 от 01.02.23 на бетон В7,5</t>
  </si>
  <si>
    <t>АОРПИ №5Б от 09.02.23, паспорт бетонной смеси №7618 от 09.02.23 на бетон В7,5</t>
  </si>
  <si>
    <t>АОРПИ №4Б от 08.02.23, паспорт бетонной смеси №7575 от 08.02.23 на бетон В20 F150 W6</t>
  </si>
  <si>
    <t>АОРПИ №6Б от 11.02.23, документ о кач.бетонной смеси №7658 от 11.02.23 на бетон В7,5</t>
  </si>
  <si>
    <t>ступени фундамента ФОМ 17 бетон класса В20 W6 F150 (13,8 м3)</t>
  </si>
  <si>
    <t>10,0 м3</t>
  </si>
  <si>
    <t>16.1-ГРС.АС</t>
  </si>
  <si>
    <t>16.2-ГРС.АС</t>
  </si>
  <si>
    <t>основания фундамента ФОМ 19 из щебня М400 пролитого битумом  (2,1 м3)</t>
  </si>
  <si>
    <t>под фундамент ФОМ 3 - 2 шт. вручную в отвал (8,2 м3)</t>
  </si>
  <si>
    <t>под фундамент ФОМ 4 - 2 шт. вручную в отвал (17,34 м3)</t>
  </si>
  <si>
    <t>Разработка  грунта под фундамент ФМ9</t>
  </si>
  <si>
    <t>экскаватором (38,7 м3) с доработкой вручную (1,5 м3) и последующим уплотнением основания пневмотрамбовками (10 м2)</t>
  </si>
  <si>
    <t>Разработка  грунта под фундамент ФМ10</t>
  </si>
  <si>
    <t>экскаватором (26,0 м3) с доработкой вручную (0,7 м3) и последующим уплотнением основания пневмотрамбовками (4 м2)</t>
  </si>
  <si>
    <t>основания фундамента ФОМ 3 - 2 шт. из щебня М400 пролитого битумом  (1,42 м3)</t>
  </si>
  <si>
    <t>основания фундамента ФОМ 4 - 2 шт. из щебня М400 пролитого битумом  (3,08 м3)</t>
  </si>
  <si>
    <t xml:space="preserve"> подготовки из бетона В 7,5  (2,8 м3) под фундамент ФОМ 4 - 2 шт.</t>
  </si>
  <si>
    <t xml:space="preserve"> подготовки из бетона В 7,5  (1,22 м3) под фундамент ФОМ 3 - 2 шт.</t>
  </si>
  <si>
    <t>8,0 м3</t>
  </si>
  <si>
    <t>АОРПИ №3Б, документ о кач.бетонной смеси №7514 от 07.02.23 на бетон В20 F150 W6</t>
  </si>
  <si>
    <t>Документ о качестве бетонной смеси №7514 от 07.02.2023</t>
  </si>
  <si>
    <t xml:space="preserve">  АОРПИ №3/АС от 01.02.23, паспорт б/н на опалубочную систему</t>
  </si>
  <si>
    <t>ступени фундамента ФОМ 15 бетон класса В20 W6 F150 (2,34 м3)</t>
  </si>
  <si>
    <t>под резервуар монолитный РМ 1 экскаватором (240 м3) с доработкой вручную (4,0 м3) и последующим уплотнением основания пневмотрамбовками (12 м3)</t>
  </si>
  <si>
    <t>Разработка сухого грунта под резервуар</t>
  </si>
  <si>
    <t>72-ГРС.АС</t>
  </si>
  <si>
    <t>73-ГРС.АС</t>
  </si>
  <si>
    <t>74-ГРС.АС</t>
  </si>
  <si>
    <t>75-ГРС.АС</t>
  </si>
  <si>
    <t>76-ГРС.АС</t>
  </si>
  <si>
    <t>77-ГРС.АС</t>
  </si>
  <si>
    <t>79-ГРС.АС</t>
  </si>
  <si>
    <t>80-ГРС.АС</t>
  </si>
  <si>
    <t>81-ГРС.АС</t>
  </si>
  <si>
    <t>основания монолитного резервуара РМ 1 из щебня М400 пролитого битумом  (5,4 м3)</t>
  </si>
  <si>
    <t>82-ГРС.АС</t>
  </si>
  <si>
    <t>83-ГРС.АС</t>
  </si>
  <si>
    <t>АОРПИ №11 от 16.01.23, сертификаты качества №2286-138 от 26.08.22, 8683-10759 от 06.11.22, 86-9845 от 23.12.22, 2263-126 от 23.08.22 на арматуру, АОРПИ №3/АС от 01.02.23, паспорт б/н на опалубочную систему АОРПИ №4/АС от 01.02.23, паспорт №3262 от 12.12.17 на проволоку Ø1,2</t>
  </si>
  <si>
    <t>84-ГРС.АС</t>
  </si>
  <si>
    <t>85-ГРС.АС</t>
  </si>
  <si>
    <t>86-ГРС.АС</t>
  </si>
  <si>
    <t>Армирование фундамента ФМ9</t>
  </si>
  <si>
    <t>АОРПИ №11 от 16.01.23, сертификаты качества №2286-138 от 26.08.22, 8683-10759 от 06.11.22, 86-9845 от 23.12.22 на арматуру, АОРПИ №3/АС от 01.02.23, паспорт б/н на опалубочную систему АОРПИ №4/АС от 01.02.23, паспорт №3262 от 12.12.17 на проволоку Ø1,2</t>
  </si>
  <si>
    <t>Армирование фундамента ФМ10</t>
  </si>
  <si>
    <t>фундамента ФМ9 бетон класса В20 W6 F150 (11,2 м3) и устройство закладных изделий (9,3 кг)</t>
  </si>
  <si>
    <t>фундамента ФМ10 бетон класса В20 W6 F150 (3,8 м3) и устройство закладных изделий (6,2 кг)</t>
  </si>
  <si>
    <t>Бетонирование нижней ступени фундамента</t>
  </si>
  <si>
    <t xml:space="preserve">АОРПИ №5Б от 19.02.23, паспорт №470 от 23.01.23 на изделие закладное, АОРПИ №7Б от 21.02.23, документ о кач.бетонной смеси №7845 от 21.02.23 на бетон В20 F150 W6 </t>
  </si>
  <si>
    <t>АОРПИ №8Б от 21.02.23г., документ о кач.бетонной смеси №7849 от 21.02.23г. на бетон марки В7,5</t>
  </si>
  <si>
    <r>
      <t xml:space="preserve">АОРПИ №5Б от 19.02.23, паспорт №470 от 23.01.23 на изделие закладное, АОРПИ №7/АС от 03.02.23, сертиф. качества №08-4616 на трубу </t>
    </r>
    <r>
      <rPr>
        <sz val="10"/>
        <color theme="1"/>
        <rFont val="Calibri"/>
        <family val="2"/>
        <charset val="204"/>
      </rPr>
      <t>Ø</t>
    </r>
    <r>
      <rPr>
        <sz val="10"/>
        <color theme="1"/>
        <rFont val="Times New Roman"/>
        <family val="1"/>
        <charset val="204"/>
      </rPr>
      <t xml:space="preserve">426х5, АОРПИ №7Б от 21.02.23, документ о кач.бетонной смеси №7845 от 21.02.23 на бетон В20 F150 W6 </t>
    </r>
  </si>
  <si>
    <r>
      <t xml:space="preserve">ступени фундамента ФОМ 17 бетон класса В20 W6 F150 (33,2 м3) с устройством трубы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426х5 (20,77 кг) и закладных изделий (51,6 кг)</t>
    </r>
  </si>
  <si>
    <t>монолитный РМ 3 экскаватором (124,74 м3) с доработкой вручную (5,0 м3) и последующим уплотнением основания пневмотрамбовками (37,0 м2)</t>
  </si>
  <si>
    <t xml:space="preserve"> подготовки из бетона В 7,5  (0,9 м3) под фундамент ФмМ 1</t>
  </si>
  <si>
    <t>Установка закладных и бетонирование</t>
  </si>
  <si>
    <t>5/АС</t>
  </si>
  <si>
    <t>Гидростеклоизол</t>
  </si>
  <si>
    <t>255 м2</t>
  </si>
  <si>
    <t>Сертификат соответствия №0605508 от 14.04.2021г.</t>
  </si>
  <si>
    <t>ГОСТ 30547-97, 32805-2014</t>
  </si>
  <si>
    <t>50.1-ГРС.АС</t>
  </si>
  <si>
    <t xml:space="preserve">Разработка грунта </t>
  </si>
  <si>
    <t>устройство основания из щебня</t>
  </si>
  <si>
    <t>-</t>
  </si>
  <si>
    <t>основания из щебня пролитого битумом (0,06 м2) с послудующим устройством гидроизоляции скважины (9,0 м2) под фундамент ФОМ 1</t>
  </si>
  <si>
    <t>49.1-ГРС.АС</t>
  </si>
  <si>
    <t xml:space="preserve">ямобуром под фундамент ФОМ 8 (0,66 м3) </t>
  </si>
  <si>
    <t>основания из щебня пролитого битумом (0,06 м2) с послудующим устройством гидроизоляции скважины (9,0 м2) под фундамент ФОМ 8</t>
  </si>
  <si>
    <t>51.1-ГРС.АС</t>
  </si>
  <si>
    <t>основания из щебня пролитого битумом (0,06 м2) с послудующим устройством гидроизоляции скважины (9,0 м2) под фундамент ФОМ 9</t>
  </si>
  <si>
    <t>52.1-ГРС.АС</t>
  </si>
  <si>
    <t>53.1-ГРС.АС</t>
  </si>
  <si>
    <t>54.1-ГРС.АС</t>
  </si>
  <si>
    <t>основания из щебня пролитого битумом (0,056 м2) с послудующим устройством гидроизоляции скважины (12,4 м2) под фундамент ФОМ 18</t>
  </si>
  <si>
    <t>основания из щебня пролитого битумом (0,056 м2) с послудующим устройством гидроизоляции скважины (12,4 м2) под фундамент ФОМ 19</t>
  </si>
  <si>
    <t>основания из щебня пролитого битумом (0,04 м2) с послудующим устройством гидроизоляции скважины (3,0 м2) под фундамент ФОМ 20</t>
  </si>
  <si>
    <t>основания из щебня пролитого битумом (0,04 м2) с послудующим устройством гидроизоляции скважины (6,0 м2) под фундамент ФОМ 2</t>
  </si>
  <si>
    <t>основания из щебня пролитого битумом (0,08 м2) с послудующим устройством гидроизоляции скважины (12,0 м2) под фундамент ФОМ 3 - 2 шт.</t>
  </si>
  <si>
    <t>основания из щебня пролитого битумом (0,12 м2) с послудующим устройством гидроизоляции скважины (18,0 м2) под фундамент ФОМ 4 - 2 шт.</t>
  </si>
  <si>
    <t>основания из щебня пролитого битумом (0,04 м2) с послудующим устройством гидроизоляции скважины (6,0 м2) под фундамент ФОМ 5</t>
  </si>
  <si>
    <t>74.1-ГРС.АС</t>
  </si>
  <si>
    <t>75.1-ГРС.АС</t>
  </si>
  <si>
    <t>76.1-ГРС.АС</t>
  </si>
  <si>
    <t>77.1-ГРС.АС</t>
  </si>
  <si>
    <t>ямобуром под фундамент ФОМ 2 (0,44 м3) глубиной 1,6 м Ø300 в отвал в количестве 4 шт</t>
  </si>
  <si>
    <t>АОРПИ №5/АС от 08.02.23, сертификат соответствия №04УПС1.RU.С02822 от 12.12.21г., на гидроизол ГИ-Г, АОРПИ №1/АС от 19.01.23, паспорт №94 от 19.01.23 на щебень фр.20-40, АОРПИ №2/АС от 19.01.23 на битум БНД 60/90</t>
  </si>
  <si>
    <t>ямобуром под фундамент ФОМ 3 - 2 шт. (0,88 м3) глубиной 1,6 м Ø300 в отвал в количестве 4 шт</t>
  </si>
  <si>
    <t>ямобуром под фундамент ФОМ 4 - 2 шт. (1,32 м3) глубиной 1,6 м Ø300 в отвал в количестве 6 шт</t>
  </si>
  <si>
    <t xml:space="preserve">ямобуром под фундамент ФОМ 5 (0,44 м3) глубиной 1,6 м Ø300 в отвал в количестве 4 шт </t>
  </si>
  <si>
    <t>ямобуром под фундамент ФОМ 1 (0,66 м3) глубиной 1,6 м Ø300 в отвал в количестве 6 шт</t>
  </si>
  <si>
    <t>ямобуром под фундамент ФОМ 9 (0,66 м3) глубиной 1,6 м Ø300 в отвал в количестве 6 шт</t>
  </si>
  <si>
    <t>ямобуром под фундамент ФОМ 18 (0,88 м3) глубиной 1,5 м Ø300 в отвал</t>
  </si>
  <si>
    <t xml:space="preserve">ямобуром под фундамент ФОМ 19 (0,88 м3) глубиной 1,5 м Ø300 в отвал </t>
  </si>
  <si>
    <t>ямобуром под фундамент ФОМ 20 (0,66 м3) глубиной 1,6 м  Ø300 в отвал в количестве 6 шт</t>
  </si>
  <si>
    <t>87-ГРС.АС</t>
  </si>
  <si>
    <t>Разработка котлована</t>
  </si>
  <si>
    <t>Устройство основания из щебня</t>
  </si>
  <si>
    <t>88-ГРС.АС</t>
  </si>
  <si>
    <t>89-ГРС.АС</t>
  </si>
  <si>
    <t>основания ФОМ 11 из щебня М400 пролитого битумом (9,5 м3)</t>
  </si>
  <si>
    <t>72-01-7353/500-13-63/313-1-ГРС.АС, лист 9</t>
  </si>
  <si>
    <t>90-ГРС.АС</t>
  </si>
  <si>
    <t>72-01-7353/500-13-63/313-1-ГРС.АС, лист 13а</t>
  </si>
  <si>
    <t>91-ГРС.АС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</si>
  <si>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theme="1"/>
        <rFont val="Calibri"/>
        <family val="2"/>
        <charset val="204"/>
      </rPr>
      <t>Ø</t>
    </r>
    <r>
      <rPr>
        <sz val="10"/>
        <color theme="1"/>
        <rFont val="Times New Roman"/>
        <family val="1"/>
        <charset val="204"/>
      </rPr>
      <t xml:space="preserve">426х5, АОРПИ №9Б от 25.02.23, документ о кач.бетонной смеси №7895 от 25.02.23 на бетон В20 F150 W6 </t>
    </r>
  </si>
  <si>
    <t>92-ГРС.АС</t>
  </si>
  <si>
    <t>фундамента ФОМ3 бетон класса В20 W6 F150 (8,42 м3) - 2шт и устройство закладных изделий (24,8 кг)</t>
  </si>
  <si>
    <t>93-ГРС.АС</t>
  </si>
  <si>
    <t>фундамента ФОМ4 бетон класса В20 W6 F150 (8,62 м3 - 2 шт) и устройство закладных изделий (18,6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</si>
  <si>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№9Б от 25.02.23, документ о кач.бетонной смеси №7895 от 25.02.23 на бетон В20 F150 W6 </t>
    </r>
  </si>
  <si>
    <t>94-ГРС.АС</t>
  </si>
  <si>
    <t>фундамента ФОМ8 бетон класса В20 W6 F150 (5,9 м3) и устройство закладных изделий (18,6 кг)</t>
  </si>
  <si>
    <t>95-ГРС.АС</t>
  </si>
  <si>
    <t>фундамента ФОМ9 бетон класса В20 W6 F150 (3,54 м3) и устройство закладных изделий (18,6 кг)</t>
  </si>
  <si>
    <t>96-ГРС.АС</t>
  </si>
  <si>
    <t xml:space="preserve">Устройство </t>
  </si>
  <si>
    <t xml:space="preserve">подготовки из бетона В 7,5  (1,6 м3 - 4 шт) под фундамент Фм1 </t>
  </si>
  <si>
    <t>АОРПИ №10Б от 28.02.23, документ о кач.бетонной смеси №7947 от 28.02.23 на бетон В7,5</t>
  </si>
  <si>
    <t>97-ГРС.АС</t>
  </si>
  <si>
    <t>подготовки из бетона В 7,5  (0,44 м3 - 2 шт) под фундамент Фм 3</t>
  </si>
  <si>
    <t>98-ГРС.АС</t>
  </si>
  <si>
    <t>подготовки из бетона В 7,5  (3,2 м3) под фундамент ФОМ 11</t>
  </si>
  <si>
    <t>99-ГРС.АС</t>
  </si>
  <si>
    <t>фундамента ФмМ1 бетон класса В20 W6 F150 (12,7 м3)</t>
  </si>
  <si>
    <t>АОРПИ №11Б от 01.03.23, паспорт бетонной смеси №7974 от 01.03.23 на бетон В20 F150 W6, АОРПИ №1/ЭС от 16.02.2023 Прожекторная мачта ВГМ-25(6)-М5-025</t>
  </si>
  <si>
    <t>100-ГРС.АС</t>
  </si>
  <si>
    <t>фундамента ФОМ2 бетон класса В20 W6 F150 (3,32 м3) и устройство закладных изделий (12,4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</si>
  <si>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№12Б от 01.03.23, документ о кач.бетонной смеси №7980 от 01.03.23 на бетон В20 F150 W6 </t>
    </r>
  </si>
  <si>
    <t>101-ГРС.АС</t>
  </si>
  <si>
    <t>фундамента ФОМ4 бетон класса В20 W6 F150 (8,62 м3 - 2 шт) и устройство закладных изделий (37,2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</si>
  <si>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9Б от 25.02.23, документ о кач.бетонной смеси №7895 от 25.02.23 на бетон В20 F150 W6 </t>
    </r>
  </si>
  <si>
    <t>102-ГРС.АС</t>
  </si>
  <si>
    <t>фундамента ФОМ5 бетон класса В20 W6 F150 (3,90 м3) и устройство закладных изделий (12,4 кг)</t>
  </si>
  <si>
    <t>103-ГРС.АС</t>
  </si>
  <si>
    <t>фундамента ФОМ18 бетон класса В20 W6 F150 (6,63 м3) и устройство закладных изделий (24,8 кг)</t>
  </si>
  <si>
    <t>104-ГРС.АС</t>
  </si>
  <si>
    <t>фундамента ФОМ19 бетон класса В20 W6 F150 (6,00 м3) и устройство закладных изделий (24,8 кг)</t>
  </si>
  <si>
    <t>105-ГРС.АС</t>
  </si>
  <si>
    <t>фундамента ФОМ20 бетон класса В20 W6 F150 (3,80 м3) и устройство закладных изделий (24,8 кг)</t>
  </si>
  <si>
    <t>106-ГРС.АС</t>
  </si>
  <si>
    <t xml:space="preserve">Гидроизоляция подземных частей </t>
  </si>
  <si>
    <t>Обратная засыпка фундамента</t>
  </si>
  <si>
    <t>Бурение скважин</t>
  </si>
  <si>
    <t>в грунтах II группы Dн = 350 мм глубиной до 20 м под устройство анодного заземлителя (80 м, 4 шт)</t>
  </si>
  <si>
    <t>1-ГРС.ЭХЗ</t>
  </si>
  <si>
    <t>2-ГРС.ЭХЗ</t>
  </si>
  <si>
    <t>ферросилидового заземлителя глубинного комплектного "Менделеевец"-МКГ (32 шт)</t>
  </si>
  <si>
    <t>72-01-7353/500-13-63/313-1-ГРС.ЭХЗ, Лист 8</t>
  </si>
  <si>
    <t>107-ГРС.АС</t>
  </si>
  <si>
    <t>экскаватором (86 м3) с доработкой вручную (4,8 м3) и уплотнением основания под фундамент ФОМ 17-1</t>
  </si>
  <si>
    <t>108-ГРС.АС</t>
  </si>
  <si>
    <t>основания фундамента ФОМ 17-1 из щебня М400 пролитого битумом (3,3 м3)</t>
  </si>
  <si>
    <t>109-ГРС.АС</t>
  </si>
  <si>
    <t>Армирование фундамента Рм1</t>
  </si>
  <si>
    <r>
      <t xml:space="preserve">ямобуром под фундамент ФОМ 6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(0,88 м3) в количестве 8 шт</t>
    </r>
  </si>
  <si>
    <t>111-ГРС.АС</t>
  </si>
  <si>
    <t>112-ГРС.АС</t>
  </si>
  <si>
    <r>
      <t xml:space="preserve">ямобуром под фундамент ФОМ 7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(0,88 м3) в количестве 8 шт</t>
    </r>
  </si>
  <si>
    <r>
      <t xml:space="preserve">ямобуром под фундамент ФОМ 13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(1,1 м3) в количестве 10 шт</t>
    </r>
  </si>
  <si>
    <t>113-ГРС.АС</t>
  </si>
  <si>
    <t>114-ГРС.АС</t>
  </si>
  <si>
    <t>фундамента ФОМ1 бетон класса В20 W6 F150 (4,34 м3) и устройство закладных изделий (18,6 кг)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</si>
  <si>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(36,72 кг), 12А400 (448,78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</si>
  <si>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(27,2 кг), 12А400 (285,78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</si>
  <si>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(9,6 кг), 12А400 (513,4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</si>
  <si>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(9,6 кг), 12А400 (461,4 кг) и устройство опалубки фундамента.</t>
    </r>
  </si>
  <si>
    <t>АОРПИ №4-2/АС от 02.02.2023 г.на битумную мастику, АОРПИ №4-3/АС от 02.02.2023 на битум</t>
  </si>
  <si>
    <t>72-01-7353/500-13-63/313-1-ГРС.ЭХЗ, Лист 4</t>
  </si>
  <si>
    <t xml:space="preserve">Устройство анодного заземлителя </t>
  </si>
  <si>
    <r>
      <t xml:space="preserve">арматурой </t>
    </r>
    <r>
      <rPr>
        <sz val="11"/>
        <color theme="1"/>
        <rFont val="Calibri"/>
        <family val="2"/>
        <charset val="204"/>
      </rPr>
      <t xml:space="preserve">Ø10А400 </t>
    </r>
    <r>
      <rPr>
        <sz val="11"/>
        <color theme="1"/>
        <rFont val="Times New Roman"/>
        <family val="1"/>
        <charset val="204"/>
      </rPr>
      <t>(100,6 кг), 12А400 (1291,68 кг), 16А400 (963,04 кг) и устройство опалубки фундамента.</t>
    </r>
  </si>
  <si>
    <t>из бетона B7,5 (1,8 м3) под фундамент ФОМ 6</t>
  </si>
  <si>
    <t>115-ГРС.АС</t>
  </si>
  <si>
    <t>72-01-7353/500-13-63/313-1-ГРС.АС, лист 10</t>
  </si>
  <si>
    <t>116-ГРС.АС</t>
  </si>
  <si>
    <t>117-ГРС.АС</t>
  </si>
  <si>
    <t>118-ГРС.АС</t>
  </si>
  <si>
    <t>130-ГРС.АС</t>
  </si>
  <si>
    <t>88.1-ГРС.АС</t>
  </si>
  <si>
    <t>119-ГРС.АС</t>
  </si>
  <si>
    <t>121-ГРС.АС</t>
  </si>
  <si>
    <t>122-ГРС.АС</t>
  </si>
  <si>
    <t>123-ГРС.АС</t>
  </si>
  <si>
    <t>124-ГРС.АС</t>
  </si>
  <si>
    <t>125-ГРС.АС</t>
  </si>
  <si>
    <t>126-ГРС.АС</t>
  </si>
  <si>
    <t>127-ГРС.АС</t>
  </si>
  <si>
    <t>129-ГРС.АС</t>
  </si>
  <si>
    <t>ФФмМ 13 (10 шт) арматурой ___</t>
  </si>
  <si>
    <t>ФФмМ 14 (6 шт) арматурой__</t>
  </si>
  <si>
    <t>131-ГРС.АС</t>
  </si>
  <si>
    <t>132-ГРС.АС</t>
  </si>
  <si>
    <t>133-ГРС.АС</t>
  </si>
  <si>
    <t>135-ГРС.АС</t>
  </si>
  <si>
    <t>134-ГРС.АС</t>
  </si>
  <si>
    <t>ФОМ 11 арматурой Ø6А240 (35,2 кг), Ø12А400 (2094,44 кг) с устройством опалубки</t>
  </si>
  <si>
    <t>Бетонирование фундамента с установкой закладных деталей</t>
  </si>
  <si>
    <t>Фм2 - 4 шт арматурой Ø6А240 (7,2 кг), Ø12А400 (301,92 кг) с устройством опалубки</t>
  </si>
  <si>
    <t>Фом 6 арматурой Ø12А400 (443,34 кг), Ø6А240 (9,6 кг), Ø10А240 (32,64 кг) с устройством опалубки</t>
  </si>
  <si>
    <t>138-ГРС.АС</t>
  </si>
  <si>
    <t>139-ГРС.АС</t>
  </si>
  <si>
    <t>140-ГРС.АС</t>
  </si>
  <si>
    <t xml:space="preserve">Обратная засыпка </t>
  </si>
  <si>
    <t>пазух фундамента Фом 8 открытым грунтом с послойным уплотнением пневмотрамбовками ПТР-1 с Куп=0,92 (3,81 м3)</t>
  </si>
  <si>
    <t>пазух фундамента Фом 9 открытым грунтом с послойным уплотнением пневмотрамбовками ПТР-1 с Куп=0,92 (3,34 м3)</t>
  </si>
  <si>
    <t>пазух фундамента Фом 15 открытым грунтом с уплотнением (74 м3)</t>
  </si>
  <si>
    <t>141-ГРС.АС</t>
  </si>
  <si>
    <t>142-ГРС.АС</t>
  </si>
  <si>
    <t>пазух фундамента Фм 9 открытым грунтом с послойным уплотнением пневмотрамбовками ПТР-1 с Куп=0,92 (27,3 м3)</t>
  </si>
  <si>
    <t>пазух фундамента Фм 10 открытым грунтом с послойным уплотнением пневмотрамбовками ПТР-1 с Куп=0,92 (21,7 м3)</t>
  </si>
  <si>
    <t>письмо согласования №04-02/2956 от 07.02.23г.</t>
  </si>
  <si>
    <t>фундамента Фм 10 горячим битумом за 2 раза по слою холодной битумной мастики (10,2 м2)</t>
  </si>
  <si>
    <t>фундамента ФМ9 горячим битумом за 2 раза по слою холодной битумной мастики (20,1м2)</t>
  </si>
  <si>
    <t>письмо-согласование №04-02/5148 от 06.03.2023</t>
  </si>
  <si>
    <t>151-ГРС.АС</t>
  </si>
  <si>
    <t xml:space="preserve">Армирование фундамента </t>
  </si>
  <si>
    <t>154-ГРС.АС</t>
  </si>
  <si>
    <t xml:space="preserve">Бетонирование фундамента </t>
  </si>
  <si>
    <t>РМ 3 арматурой Ø12А400 (1833,89 кг), Ø6А240 (54,88 кг), Ø10А400 (48,76 кг) с устройством опалубки</t>
  </si>
  <si>
    <t>.письмо согласования №04-02/2956 от 07.02.23г.</t>
  </si>
  <si>
    <t>основания фундамента Фом 14 из щебня М400 пролитого битумом толщ. 100 мм (2,34 м2)</t>
  </si>
  <si>
    <t>Устройство бетонной подготовки под фундамент</t>
  </si>
  <si>
    <t>149-ГРС.АС</t>
  </si>
  <si>
    <t>из бетона В7,5 под фундамент Фом17-1 (1,3 м3)</t>
  </si>
  <si>
    <t>152-ГРС.АС</t>
  </si>
  <si>
    <t>160-ГРС.АС</t>
  </si>
  <si>
    <t>131.1-ГРС.АС</t>
  </si>
  <si>
    <t>90.1-ГРС.АС</t>
  </si>
  <si>
    <r>
      <t xml:space="preserve">Фом 2 арматурой  Ø6А240 (4,8 кг),  Ø10А240 (2,4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(16,2 кг), 12А400 (198,49 кг) и устройство опалубки фундамента.</t>
    </r>
  </si>
  <si>
    <t>90.2-ГРС.АС</t>
  </si>
  <si>
    <t>Фом 5 арматурой  Ø6А240 (4,8 кг),  Ø10А240 (29,76 кг), 12А400 (230 кг) и устройство опалубки фундамента.</t>
  </si>
  <si>
    <t>111.1-ГРС.АС</t>
  </si>
  <si>
    <t>основания фундамента ФОМ 6 из щебня М400 пролитого битумом (1,99 м3)</t>
  </si>
  <si>
    <t>164-ГРС.АС</t>
  </si>
  <si>
    <t>Фом11, бетон класса В20 W6 F150 (29 м3)</t>
  </si>
  <si>
    <t>113.1-ГРС.АС</t>
  </si>
  <si>
    <t>основания фундамента ФОМ 13 из щебня М400 пролитого битумом (2,4 м3)</t>
  </si>
  <si>
    <t>116.1-ГРС.АС</t>
  </si>
  <si>
    <t>подготовки из бетона В 7,5  (2,2 м3) под фундамент ФОМ 13</t>
  </si>
  <si>
    <t>116.2-ГРС.АС</t>
  </si>
  <si>
    <t>ФОМ 13 арматурой Ø6А240 (12 кг), Ø10А240 (48,6 кг), Ø12А400 (559,66 кг) с устройством опалубки</t>
  </si>
  <si>
    <t>Фом 13, бетон класса В20 W6 F150 (7,7 м3)</t>
  </si>
  <si>
    <t>166-ГРС.АС</t>
  </si>
  <si>
    <t>134.1-ГРС.АС</t>
  </si>
  <si>
    <t>165-ГРС.АС</t>
  </si>
  <si>
    <t xml:space="preserve">фундамента ФОМ 16 горячим битумом по слою холодной битумной мастики за два раза (176 м2) </t>
  </si>
  <si>
    <t>162-ГРС.АС</t>
  </si>
  <si>
    <t>Фом 17-1 арматурой Ø12А400 (217,4 кг), Ø6А240 (7,6 кг)  с устройством опалубки</t>
  </si>
  <si>
    <t>Бетонирование фундамента с устройствой закладной детали</t>
  </si>
  <si>
    <t>Фом 17-1, бетон класса В20 W6 F150 (18,5 м3)</t>
  </si>
  <si>
    <r>
      <t xml:space="preserve">ФОМ 3 арматурой  Ø6А240 (4,8 кг),  Ø10А240 (2,52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(17,1 кг), 12А400 (229,6 кг) и устройство опалубки фундамента.</t>
    </r>
  </si>
  <si>
    <t>ФОМ 4 арматурой  Ø6А240 (7,2 кг),  Ø10А240 (26,8 кг),  12А400 (333,32 кг) и устройство опалубки фундамента.</t>
  </si>
  <si>
    <t>под фундамент ФМ 2 с доработкой вручную и уплотнением основания - 4 шт</t>
  </si>
  <si>
    <t>91.1-ГРС.АС</t>
  </si>
  <si>
    <t>основания ФМ2 (0,35 м3) из щебня М400 пролитого битумом</t>
  </si>
  <si>
    <t>96.1-ГРС.АС</t>
  </si>
  <si>
    <t>подготовки из бетона В 7,5  (0,52 м3 - 4 шт) под фундамент Фм2</t>
  </si>
  <si>
    <t>114.1-ГРС.АС</t>
  </si>
  <si>
    <t>из бетона B7,5 (2,52 м3) под фундамент ФОМ 7</t>
  </si>
  <si>
    <t>112.1-ГРС.АС</t>
  </si>
  <si>
    <t xml:space="preserve">Бетон БСГ В20 </t>
  </si>
  <si>
    <t>7473-2010</t>
  </si>
  <si>
    <t>АОРПИ №154-ГРС.АС от 22.03.2023, дкбс №7983 от 22.03.2023,  дкбс №7986 от 22.03.2023</t>
  </si>
  <si>
    <t>АОРПИ №152-ГРС.АС от 21.03.2023, дкбс №7984 от 21.03.2023</t>
  </si>
  <si>
    <t>письмо согласования №6835-22/65 от 29.12.2022г.</t>
  </si>
  <si>
    <t>АОРПИ №10 от 14.01.2023г., паспорт качества №2б/452-1 от 27.12.2022г на песок.</t>
  </si>
  <si>
    <t xml:space="preserve">фундамента ФОМ 1 горячим битумом по слою холодной битумной мастики за два раза (1,72 м2) </t>
  </si>
  <si>
    <t xml:space="preserve">фундамента ФОМ 2 горячим битумом по слою холодной битумной мастики за два раза (0,82 м2) </t>
  </si>
  <si>
    <t>фундамента ФОМ 3 горячим битумом по слою холодной битумной мастики за два раза (1,84 м2)</t>
  </si>
  <si>
    <t xml:space="preserve">фундамента ФОМ 4 горячим битумом по слою холодной битумной мастики за два раза (4,56 м2) </t>
  </si>
  <si>
    <t>фундамента ФОМ 8 горячим битумом по слою холодной битумной мастики за два раза (1,89 м2)</t>
  </si>
  <si>
    <t xml:space="preserve">фундамента ФОМ 9 горячим битумом по слою холодной битумной мастики за два раза (0,52 м2) </t>
  </si>
  <si>
    <t xml:space="preserve">фундамента ФОМ 18 горячим битумом по слою холодной битумной мастики за два раза (2,2 м2) </t>
  </si>
  <si>
    <t xml:space="preserve">фундамента ФОМ 19 горячим битумом по слою холодной битумной мастики за два раза (2 м2) </t>
  </si>
  <si>
    <t xml:space="preserve">фундамента ФОМ 20 горячим битумом по слою холодной битумной мастики за два раза (1,52 м2) </t>
  </si>
  <si>
    <t xml:space="preserve">фундамента ФОМ 5 горячим битумом по слою холодной битумной мастики за два раза (1,24 м2) </t>
  </si>
  <si>
    <t xml:space="preserve">фундамента ФОМ 13 горячим битумом по слою холодной битумной мастики за два раза (0,52 м2) </t>
  </si>
  <si>
    <t>АОРПИ №116.1-ГРС.АС от 13.03.2023, документ о качестве бетонной смеси №8001 от 13.03.2023г.</t>
  </si>
  <si>
    <t>АОРПИ №149-ГРС.АС от 20.03.2023, документ о качестве бетонной смеси №8010 от 20.03.2023</t>
  </si>
  <si>
    <t xml:space="preserve">СП 48.13330.2019 "Организация строительства", СП 70.13330.2012 "Несущие и ограждающие конструкции" </t>
  </si>
  <si>
    <t>основания фундамента ФОМ 7 из щебня М400 пролитого битумом (2,74 м3)</t>
  </si>
  <si>
    <t>покрытие верха фундамента гидроизоляцией</t>
  </si>
  <si>
    <t>Армирование фундаментов</t>
  </si>
  <si>
    <t>Бетонирование фундаментов</t>
  </si>
  <si>
    <t>Фм1, бетон класса В20 W6 F150 (27,6 м3 - 4 шт), Фм 3, бетон класса В20 W6 F150 (6,9 м3)</t>
  </si>
  <si>
    <t>фундамента Рм1 из бетона В20 (19,2 м3)</t>
  </si>
  <si>
    <t>167-ГРС.АС</t>
  </si>
  <si>
    <t>168-ГРС.АС</t>
  </si>
  <si>
    <t>169-ГРС.АС</t>
  </si>
  <si>
    <t>ФОм14 арматурой Ø12А400 (499,6 кг), Ø6А240 (7,2 кг), Ø10А240 (57,12 кг) с устройством опалубки</t>
  </si>
  <si>
    <t>170-ГРС.АС</t>
  </si>
  <si>
    <t>171-ГРС.АС</t>
  </si>
  <si>
    <t>172-ГРС.АС</t>
  </si>
  <si>
    <t>Фом14, бетон класса В20 W6 F150 (5,94 м3)</t>
  </si>
  <si>
    <t>Фом6, бетон класса В20 W6 F150 (4,72 м3)</t>
  </si>
  <si>
    <t>ФОм7 арматурой Ø12А400 (579,44 кг), Ø6А240 (7,2 кг), Ø10А240 (36,72 кг) с устройством опалубки</t>
  </si>
  <si>
    <t xml:space="preserve">фундамента ФМ1 горячим битумом по слою холодной битумной мастики за два раза (57,2 м2 - 4 шт) </t>
  </si>
  <si>
    <t xml:space="preserve">фундамента ФМ3 горячим битумом по слою холодной битумной мастики за два раза (21,6 м2 - 2 шт) </t>
  </si>
  <si>
    <t>78-ГРС.АС</t>
  </si>
  <si>
    <t>ФОМ 1 арматурой  Ø6А240 (6 кг),  Ø10А240 (32,16 кг), 12А400 (397,41 кг) и устройство опалубки фундамента.</t>
  </si>
  <si>
    <t>АОРПИ №170-ГРС.АС от 29.03.2023, документ о качестве бетонной смеси №8019 от 29.03.2023г.</t>
  </si>
  <si>
    <t>115.1-ГРС.АС</t>
  </si>
  <si>
    <t>Перемещение лишнего грунта</t>
  </si>
  <si>
    <t>бульдозером на расстояние до 50 м от фундаментов ФОМ1-ФОМ9, ФОМ11, ФОМ13-ФОМ17, ФОМ17-1, ФОМ18-ФОМ20, ФМ1-ФМ3, ФМ9-ФМ10, ФмМ1, РМ1 (416,21 м3)</t>
  </si>
  <si>
    <t>72-01-7353/500-13-63/313-1-ГРС.АС, листы 4-19</t>
  </si>
  <si>
    <t>116.1-ГРСАС</t>
  </si>
  <si>
    <t>2,2 м3</t>
  </si>
  <si>
    <t>№8001</t>
  </si>
  <si>
    <t xml:space="preserve">Бетон БСГ В7,5 </t>
  </si>
  <si>
    <t>АОРПИ №164-ГРС.АС от 25.03.2023, документ о качестве бетонной смеси №7991 от 25.03.2023г.</t>
  </si>
  <si>
    <t>АОРПИ №160-ГРС.АС от 22.03.2023, документ о качестве бетонной смеси №7986 от 22.03.2023</t>
  </si>
  <si>
    <t>фундамента ФОМ 17 горячим битумом по слою холодной битумной мастики за два раза (380 м2)</t>
  </si>
  <si>
    <t>Бетонирование фундамента с устройством закладныхх деталей</t>
  </si>
  <si>
    <t>основания ФМ1 (4м3), ФМ3 (1,2 м3), из щебня М400 пролитого битумом</t>
  </si>
  <si>
    <t xml:space="preserve">фундамента ФОМ 15 горячим битумом по слою холодной битумной мастики за два раза (48 м2) </t>
  </si>
  <si>
    <r>
      <t xml:space="preserve">ФмМ 1 арматурой  Ø10А400 (106,68 кг),  Ø12А400 (138,98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16А400 (127,2 кг), труба Ø32 (1,24 кг) и устройство опалубки фундамента.</t>
    </r>
  </si>
  <si>
    <t>Фм1 арматурой Ø12А400 (1101,12 кг), Ø10А240 (6,72 кг) - 4 шт с устройством опалубки</t>
  </si>
  <si>
    <t>173-ГРС.АС</t>
  </si>
  <si>
    <t>174-ГРС.АС</t>
  </si>
  <si>
    <t>175-ГРС.АС</t>
  </si>
  <si>
    <t>176-ГРС.АС</t>
  </si>
  <si>
    <t>177-ГРС.АС</t>
  </si>
  <si>
    <t xml:space="preserve">Фом7 бетоном В20 F150 W6 (6,92 м3) </t>
  </si>
  <si>
    <t>ФмМ1 бетоном В20 F150 W6 (25,4 м3)</t>
  </si>
  <si>
    <t>178-ГРС.АС</t>
  </si>
  <si>
    <t>179-ГРС.АС</t>
  </si>
  <si>
    <t>181-ГРС.АС</t>
  </si>
  <si>
    <t>182-ГРС.АС</t>
  </si>
  <si>
    <t>183-ГРС.АС</t>
  </si>
  <si>
    <t>185-ГРС.АС</t>
  </si>
  <si>
    <t>186-ГРС.АС</t>
  </si>
  <si>
    <t>187-ГРС.АС</t>
  </si>
  <si>
    <t>188-ГРС.АС</t>
  </si>
  <si>
    <t>189-ГРС.АС</t>
  </si>
  <si>
    <t>190-ГРС.АС</t>
  </si>
  <si>
    <t>фундамента Фом 11 горячим битумом по слою холодной битумной мастики за два раза (146 м2)</t>
  </si>
  <si>
    <t>Рм1 бетоном В20 F150 W6 (19,2 м3)</t>
  </si>
  <si>
    <t>фундамента Фом 6 горячим битумом по слою холодной битумной мастики за два раза (2,05 м2)</t>
  </si>
  <si>
    <t>фундамента Фом 7 горячим битумом по слою холодной битумной мастики за два раза (2,2 м2)</t>
  </si>
  <si>
    <t>фундамента Фом 14 горячим битумом по слою холодной битумной мастики за два раза (1,88 м2)</t>
  </si>
  <si>
    <t>Разработка грунта</t>
  </si>
  <si>
    <t>72-01-7353/500-13-63/313-1-ГРС.АС, лист 34</t>
  </si>
  <si>
    <t>АОРПИ №173-ГРС.АС от 30.03.2023, документ о качестве бетонной смеси №8023 от 30.03.2023</t>
  </si>
  <si>
    <t>6,92 м3</t>
  </si>
  <si>
    <t>№8023</t>
  </si>
  <si>
    <t>АОРПИ №176-ГРС.АС от 31.03.2023, документ о качестве бетонной смеси №8025 от 31.03.2023</t>
  </si>
  <si>
    <t>25,4 м3</t>
  </si>
  <si>
    <t>№8025</t>
  </si>
  <si>
    <t>АОРПИ №181-ГРС.АС от 03.04.2023, документ о качестве бетонной смеси №8031 от 03.04.2023</t>
  </si>
  <si>
    <t>Бетон БСГ В20</t>
  </si>
  <si>
    <t>19,2 м3</t>
  </si>
  <si>
    <t>№8031</t>
  </si>
  <si>
    <t xml:space="preserve">72-01-7353/500-13-63/313-1-ГРС.АС, лист </t>
  </si>
  <si>
    <t xml:space="preserve">в котловане под монолитную ж.б. плиту Пм2 (433 м3)  с перемещением лишнего грунта бульдозером на расстояние до 50 м (40,36 м3) </t>
  </si>
  <si>
    <t>под фундаменты ФМ1 и ФМ3 с доработкой вручную и уплотнением основания (209,2 м3 - 2 шт)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</si>
  <si>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(103,04 кг), 12А400 (123,4 кг), уголком 50х5 (32,58),листом Б-ПН-О-6х100х100 (1,41 кг) 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</si>
  <si>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(38,87 кг), 12А400 (42,63 кг), уголком 50х5 (21,72),листом Б-ПН-О-6х100х100 (0,94 кг)  и устройство опалубки фундамента.</t>
    </r>
  </si>
  <si>
    <t>79.1-ГРС.АС</t>
  </si>
  <si>
    <t>81.1-ГРС.АС</t>
  </si>
  <si>
    <t>111.2-ГРС.АС</t>
  </si>
  <si>
    <t>113.2-ГРС.АС</t>
  </si>
  <si>
    <t>Разработка сухого грунта в котловане под фундамент ФОМ 6 вручную в отвал (10,25м3)</t>
  </si>
  <si>
    <t xml:space="preserve"> документ о кач.бетонной смеси №7947 от 12.02.23 на бетон В7,5</t>
  </si>
  <si>
    <t>АОРПИ №114-ГРС.АС от 12.02.23, документ о кач.бетонной смеси №7947 от 12.02.23 на бетон В7,5</t>
  </si>
  <si>
    <t>под фундамент ФОМ 11 экскаватором (200 м3), доработкой грунта вручную в отвал(9 м3) с последующим уплотнением (27 м3)</t>
  </si>
  <si>
    <t>в котловане под фундамент ФОМ 13 вручную в отвал (10,77 м3)</t>
  </si>
  <si>
    <t>10,66 м3</t>
  </si>
  <si>
    <t>№8019</t>
  </si>
  <si>
    <t xml:space="preserve">72-01-7353/500-13-63/313-1-ГРС.АС, лист 7, 10 </t>
  </si>
  <si>
    <t>Бетон БСГ В20 - 10,66м3</t>
  </si>
  <si>
    <t>документ о качестве бетонной смеси №8019 от 29.03.2023г.</t>
  </si>
  <si>
    <t xml:space="preserve">в выемке под фундамент Фом 12 вручную в отвал (28 м3) </t>
  </si>
  <si>
    <t>пазух котлована фундаментов Фм1 (4 шт) и Фм3 (2 шт) отрытым грунтом с послойным уплотнением (140,16 м3)</t>
  </si>
  <si>
    <t>пазух котлована фундамента Фом 16 отрытым грунтом с уплотнением (196 м3)</t>
  </si>
  <si>
    <t>пазух котлована фундамента Фом 11 отрытым грунтом с уплотнением (171,3 м3)</t>
  </si>
  <si>
    <t>пазух котлована фундаментов Фом 17 и Фом 17-1 отрытым грунтом с уплотнением (301 м3)</t>
  </si>
  <si>
    <t>пазух котлована фундамента Фом 6 отрытым грунтом с уплотнением (4,69 м3)</t>
  </si>
  <si>
    <t>пазух котлована фундамента Фом 7 отрытым грунтом с уплотнением (3,66 м3)</t>
  </si>
  <si>
    <t>пазух котлована фундамента Фом 14 отрытым грунтом с уплотнением (3,92 м3)</t>
  </si>
  <si>
    <t>Устройство закладных деталей</t>
  </si>
  <si>
    <t>АОРПИ №5/АС от 19.02.2023, паспорт № 470 от 23.01.2023. сертификат соответствия № РОСС RU.АМ05.Н18260 от 07.09.2022</t>
  </si>
  <si>
    <t>Фом 17 изделием МН 112-1 14 шт (43,4 кг), изделием МН 116-1 2 шт (8,2 кг).</t>
  </si>
  <si>
    <t>84.1-ГРС.АС</t>
  </si>
  <si>
    <t>191-ГРС.АС</t>
  </si>
  <si>
    <t>192-ГРС.АС</t>
  </si>
  <si>
    <t>---</t>
  </si>
  <si>
    <t>72-01-7353/500-13-63/313-1-ГРС.АС, листы 7-17</t>
  </si>
  <si>
    <t>194-ГРС.АС</t>
  </si>
  <si>
    <t>195-ГРС.АС</t>
  </si>
  <si>
    <t>196-ГРС.АС</t>
  </si>
  <si>
    <t>197-ГРС.АС</t>
  </si>
  <si>
    <t>198-ГРС.АС</t>
  </si>
  <si>
    <t>199-ГРС.АС</t>
  </si>
  <si>
    <t>200-ГРС.АС</t>
  </si>
  <si>
    <t>Фом11 - бурение скважин под сваи - 14 шт</t>
  </si>
  <si>
    <t>Фом12 - изготовление гидроизоляции скважин - 9 шт</t>
  </si>
  <si>
    <t>Фом12 - заливка  свай - 14 шт, монтаж армокаркаса - 100%</t>
  </si>
  <si>
    <t>201-ГРС.АС</t>
  </si>
  <si>
    <t>Рм3 арматурой Ø12А400 (1833,89 кг), Ø6А240 (54,88 кг), Ø10А400 (48,76 кг) с устройством опалубки</t>
  </si>
  <si>
    <t xml:space="preserve">Устройство основания </t>
  </si>
  <si>
    <t xml:space="preserve"> из щебня М400 фр. 40-70 пролитого битумом под фундамент ФОМ 12 (4,7 м3)</t>
  </si>
  <si>
    <t>АОРПИ №194-ГРС.АС от 10.04.2023, документ о качестве бетонной смеси №8099 от 10.04.2023</t>
  </si>
  <si>
    <t>30,3 м3</t>
  </si>
  <si>
    <t>№8099</t>
  </si>
  <si>
    <t>из бетона В7,5 под фундамент ФОМ 12 (4,33 м3)</t>
  </si>
  <si>
    <t>АОРПИ №195-ГРС.АС от 10.04.2023, документ о качестве бетонной смеси №8101 от 10.04.2023</t>
  </si>
  <si>
    <t>Бетон В7,5</t>
  </si>
  <si>
    <t>4,33 м3</t>
  </si>
  <si>
    <t>№8101</t>
  </si>
  <si>
    <t>Рм3, бетон класса В20 F150 W6 (30,3 м3) с железнением бетонной поверхности днища (25 м2) и с устройством закладных деталей</t>
  </si>
  <si>
    <t>фундамента РМ1 горячим битумом по слою холодной битумной мастики за два раза (63,0 м2)</t>
  </si>
  <si>
    <t>фундамента РМ3 горячим битумом по слою холодной битумной мастики за два раза (48,5 м2)</t>
  </si>
  <si>
    <t>202-ГРС.АС</t>
  </si>
  <si>
    <t>203-ГРС.АС</t>
  </si>
  <si>
    <t>204-ГРС.АС</t>
  </si>
  <si>
    <t>205-ГРС.АС</t>
  </si>
  <si>
    <t>основания плиты Пм2 из щебня М400 пролитого битумом (11,28 м3 - 2 шт)</t>
  </si>
  <si>
    <t>подготовки из бетона В 7,5  (4,56 м3 - 2 шт) под плиту Пм2</t>
  </si>
  <si>
    <t>АОРПИ №204-ГРС.АС, документ о качестве бетонной смеси №8156 от 21.04.2023</t>
  </si>
  <si>
    <t>№8156</t>
  </si>
  <si>
    <t>206-ГРС.АС</t>
  </si>
  <si>
    <t>бульдозером на расстояние до 50 м от фундаментов Фом6, Фом7, Фом8, Фом9, Фом12, Фом13, Фом14, Фом18 (28,17 м3)</t>
  </si>
  <si>
    <t>Рм3 - гидроизоляция фундамента - 100%</t>
  </si>
  <si>
    <t>ФМм2 - разработка котлована, обратная засыпка 100%, гидроизоляция - 70%</t>
  </si>
  <si>
    <t>ФМм1 - заливка верхнего стакана 3 шт</t>
  </si>
  <si>
    <t>Рм1 - внутренняя засыпка крупным песком и уплотнение - 100%</t>
  </si>
  <si>
    <t>Фм2 - устройство основания из щебня (4 шт), устройство подбетонки - 100%, водоотведение</t>
  </si>
  <si>
    <t>АОРПИ №202-ГРС.АС от 20.04.2023, документ о качестве бетонной смеси №8122 от 20.04.2023</t>
  </si>
  <si>
    <t>ФМм1, бетон класса В20 F150 W6 (50,8 м3) с устройством закладных деталей</t>
  </si>
  <si>
    <t>50,8 м3</t>
  </si>
  <si>
    <t>№8122</t>
  </si>
  <si>
    <t>205.1-ГРС.АС</t>
  </si>
  <si>
    <t>ФМм1 (4 шт) арматурой Ø10А400 (426,72кг), Ø12А400 (555,92 кг), Ø16А400 (508,8 кг), труба 32х1,5 (4,96 кг) с устройством опалубки</t>
  </si>
  <si>
    <t>Пм2 арматурой Ø6А240 (19,6кг), Ø10А240 (152,52 кг), Ø10А400 (322,1 кг),  Ø12А400 (1002,36 кг) с устройством опалубки</t>
  </si>
  <si>
    <t>Пм2, бетон класса В20 F100 W6 (14,8 м3) с устройством закладных деталей</t>
  </si>
  <si>
    <t>АОРПИ №205.1-ГРС.АС от 27.04.2023, документ о качестве бетонной смеси №8158 от 27.04.2023</t>
  </si>
  <si>
    <t>14,8 м3</t>
  </si>
  <si>
    <t>№8158</t>
  </si>
  <si>
    <t>207-ГРС.АС</t>
  </si>
  <si>
    <t>208-ГРС.АС</t>
  </si>
  <si>
    <t>209-ГРС.АС</t>
  </si>
  <si>
    <t>210-ГРС.АС</t>
  </si>
  <si>
    <t>211-ГРС.АС</t>
  </si>
  <si>
    <t>212-ГРС.АС</t>
  </si>
  <si>
    <t>213-ГРС.АС</t>
  </si>
  <si>
    <t>214-ГРС.АС</t>
  </si>
  <si>
    <t>215-ГРС.АС</t>
  </si>
  <si>
    <t>216-ГРС.АС</t>
  </si>
  <si>
    <t>217-ГРС.АС</t>
  </si>
  <si>
    <t>218-ГРС.АС</t>
  </si>
  <si>
    <t>219-ГРС.АС</t>
  </si>
  <si>
    <t>фундамента ФМм1(4 шт) горячим битумом по слою холодной битумной мастики за два раза (121,2 м2)</t>
  </si>
  <si>
    <t>фундамента Пм2 (2 шт) горячим битумом по слою холодной битумной мастики за два раза (77,2 м2)</t>
  </si>
  <si>
    <t>фундамента Фом 12 горячим битумом по слою холодной битумной мастики за два раза (4 м2)</t>
  </si>
  <si>
    <t>Фм3 арматурой Ø10А240 (8,02 кг), Ø12А400 (153,62 кг) с устройством опалубки</t>
  </si>
  <si>
    <t>Фм2 (4 шт), бетон класса В20 F150 W6 (8 м3) с устройством закладных деталей</t>
  </si>
  <si>
    <t>АОРПИ №211-ГРС.АС от 04.05.2023, документ о качестве бетонной смеси №8164 от 04.05.2023</t>
  </si>
  <si>
    <t>№8164</t>
  </si>
  <si>
    <t>Фм3 (1 шт), бетон класса В20 F150 W6 (3,45 м3) с устройством закладных деталей</t>
  </si>
  <si>
    <t>11,45 м3</t>
  </si>
  <si>
    <t>171.1-ГРС.АС</t>
  </si>
  <si>
    <t>111.3-ГРС.АС</t>
  </si>
  <si>
    <t>112.2-ГРС.АС</t>
  </si>
  <si>
    <t>112.3-ГРС.АС</t>
  </si>
  <si>
    <t>АОРПИ №5Б от 19.02.23, паспорт №7895 от 25.02.23 на изделие закладное</t>
  </si>
  <si>
    <t>Приложение №171.1-ГРС.АС</t>
  </si>
  <si>
    <t>основания из щебня пролитого битумом (0,08 м2) с послудующим устройством гидроизоляции скважины (12,0 м2) под фундамент ФОМ 6</t>
  </si>
  <si>
    <t>Приложение №112.2-ГРС.АС</t>
  </si>
  <si>
    <t>основания из щебня пролитого битумом (0,08 м2) с послудующим устройством гидроизоляции скважины (12,0 м2) под фундамент ФОМ 7</t>
  </si>
  <si>
    <t>Приложение №112.3-ГРС.АС</t>
  </si>
  <si>
    <t xml:space="preserve"> закладных изделий МН 112-1 (24.8кг)</t>
  </si>
  <si>
    <t>сухого грунта в котловане под фундамент ФОМ 7 вручную в отвал (11,46м3)</t>
  </si>
  <si>
    <t>гидроизоляция фундамента</t>
  </si>
  <si>
    <t>220-ГРС.АС</t>
  </si>
  <si>
    <t>Приложение №1 к Акту №220-ГРС.АС от 04.04.2023г.</t>
  </si>
  <si>
    <t xml:space="preserve">Разработка  </t>
  </si>
  <si>
    <t xml:space="preserve">сухого грунта в котловане под фундамент ФОМ 12 вручную в отвал (28м3)  с перемещением лишнего грунта бульдозером на расстояние до 50 м (15,85 м3) </t>
  </si>
  <si>
    <t>220.1-ГРС.АС</t>
  </si>
  <si>
    <t>ямобуром под фундамент ФОМ 12 глубиной 1,5 м Ø300 в отвал (1,58 м3) в количестве 14 шт</t>
  </si>
  <si>
    <t>220.2-ГРС.АС</t>
  </si>
  <si>
    <t>основания фундамента ФОМ 12 из щебня М400 пролитого битумом  (9,5 м3)</t>
  </si>
  <si>
    <t>Приложение №1 к Акту №220.2-ГРС.АС от 07.04.2023г.</t>
  </si>
  <si>
    <t>220.3-ГРС.АС</t>
  </si>
  <si>
    <t>основания из щебня пролитого битумом (0,14 м3) с послудующим устройством гидроизоляции скважины (21,8 м2) под фундамент ФОМ 12</t>
  </si>
  <si>
    <t>Приложение №1 к Акту №220.3-ГРС.АС от 07.04.2023г.</t>
  </si>
  <si>
    <t>220.4-ГРС.АС</t>
  </si>
  <si>
    <t>подготовки из бетона В 7,5  (4,33 м3 )</t>
  </si>
  <si>
    <t>Приложение №1 к Акту №220.4-ГРС.АС от 08.04.2023г.</t>
  </si>
  <si>
    <t>220.5-ГРС.АС</t>
  </si>
  <si>
    <t>ФОМ 12 арматурой Ø6А240 (16,8кг), Ø12А400 (1114,96 кг) с устройством опалубки</t>
  </si>
  <si>
    <t>Приложение №1 к Акту №220.5-ГРС.АС от 09.04.2023г.</t>
  </si>
  <si>
    <t>220.6-ГРС.АС</t>
  </si>
  <si>
    <t>ФОМ12 (1 шт), бетон класса В20 F150 W6 (17,3 м3) с устройством закладных деталей МН 112-1 и МН128-1 -64,2 кг</t>
  </si>
  <si>
    <t>220.7-ГРС.АС</t>
  </si>
  <si>
    <t>Гидроизоляция подземных частей</t>
  </si>
  <si>
    <t>Приложение №1 к Акту №220.7-ГРС.АС от 01.05.2023г.</t>
  </si>
  <si>
    <t>221.9-ГРС.АС</t>
  </si>
  <si>
    <t xml:space="preserve">сухого грунта в котловане под фундамент ФОМ 21 вручную в отвал (1,63м3)  с перемещением лишнего грунта бульдозером на расстояние до 50 м (1,63 м3) </t>
  </si>
  <si>
    <t>72-01-7353/500-13-63/313-1-ГРС.АС, лист 14</t>
  </si>
  <si>
    <t>Приложение №1 к Акту №221-ГРС.АС от 20.05.2023г.</t>
  </si>
  <si>
    <t>221.1-ГРС.АС</t>
  </si>
  <si>
    <t>ямобуром под фундамент ФОМ 21 глубиной 1,5 м Ø300 в отвал (0,42 м3) в количестве 4 шт</t>
  </si>
  <si>
    <t>Приложение №1 к Акту №221.1-ГРС.АС от 20.05.2023г.</t>
  </si>
  <si>
    <t>221.2-ГРС.АС</t>
  </si>
  <si>
    <t>основания фундамента ФОМ 21 из щебня М400 фр.20-40 пролитого битумом  (0,75м3)</t>
  </si>
  <si>
    <t>221.3-ГРС.АС</t>
  </si>
  <si>
    <t>221.4-ГРС.АС</t>
  </si>
  <si>
    <t>подготовки из бетона В 7,5  (0,3 м3 )</t>
  </si>
  <si>
    <t>221.5-ГРС.АС</t>
  </si>
  <si>
    <t>ФОМ 21 арматурой Ø6А240 (4,0 кг), Ø12А400 (71,93 кг) с устройством опалубки</t>
  </si>
  <si>
    <t>Приложение №1 к Акту №221.3-ГРС.АС от 21.05.2023г.</t>
  </si>
  <si>
    <t>Приложение №1 к Акту №221.2-ГРС.АС от 21.05.2023г.</t>
  </si>
  <si>
    <t>221.6-ГРС.АС</t>
  </si>
  <si>
    <t>221.7-ГРС.АС</t>
  </si>
  <si>
    <t>фундамента Фом21 горячим битумом по слою холодной битумной мастики за два раза (0,65 м2)</t>
  </si>
  <si>
    <t>221.8-ГРС.АС</t>
  </si>
  <si>
    <t>пазух котлована фундамента Фом 21 отрытым грунтом с уплотнением (0,42м3)</t>
  </si>
  <si>
    <t xml:space="preserve">Гидроизоляция поверхностей фундамента </t>
  </si>
  <si>
    <t>Фом 12 проникающей гидроизоляцией "ЛАХТА" (80 м2)</t>
  </si>
  <si>
    <t>Проникающая гидроизоляция "ЛАХТА", АОРПИ №6/АС от 20.03.2023г., паспорт о качестве №ЛП-603-008-23 от 13.02.2023г.</t>
  </si>
  <si>
    <t>Приложение №1 к Акту №215-ГРС.АС от 02.05.2023г.</t>
  </si>
  <si>
    <t>Фом 21 проникающей гидроизоляцией "ЛАХТА" (1,3 м2)</t>
  </si>
  <si>
    <t>ФОМ 21</t>
  </si>
  <si>
    <t>ФОМ 12</t>
  </si>
  <si>
    <t>РМ 2</t>
  </si>
  <si>
    <t>АОРПИ №12-2Б от 08.04.2023, документ о качестве бетонной смеси №8912 от 08.04.2023</t>
  </si>
  <si>
    <t>АОРПИ №13Б от 24.05.2023, документ о качестве бетонной смеси №9790 от 24.05.2023</t>
  </si>
  <si>
    <t>222-ГРС.АС</t>
  </si>
  <si>
    <t>72-01-7353/500-13-63/313-1-ГРС.АС, лист 20</t>
  </si>
  <si>
    <t>Приложение №1 к Акту №222-ГРС.АС от 16.05.2023г.</t>
  </si>
  <si>
    <t>222.1-ГРС.АС</t>
  </si>
  <si>
    <t>222.2-ГРС.АС</t>
  </si>
  <si>
    <t>грунта (15м3)</t>
  </si>
  <si>
    <t xml:space="preserve">Уплотнение </t>
  </si>
  <si>
    <t>основания фундамента РМ2 из щебня М400 фр.20-40 пролитого битумом  (5,2м3)</t>
  </si>
  <si>
    <t>Приложение №1 к Акту №222.1-ГРС.АС от 17.05.2023г.</t>
  </si>
  <si>
    <t>Приложение №1 к Акту №222.2-ГРС.АС от 17.05.2023г.</t>
  </si>
  <si>
    <t>222.3-ГРС.АС</t>
  </si>
  <si>
    <t>222.4-ГРС.АС</t>
  </si>
  <si>
    <t>Рм2 арматурой Ø16А400 (1098,0 кг), Ø10А400 (73,6 кг), Ø12А400 (1420,48 кг) с устройством опалубки</t>
  </si>
  <si>
    <t>222.5-ГРС.АС</t>
  </si>
  <si>
    <t>222.6-ГРС.АС</t>
  </si>
  <si>
    <t xml:space="preserve">Заполнение </t>
  </si>
  <si>
    <t>пазух между фундаментом и емкостью песком (20м3)</t>
  </si>
  <si>
    <t>222.7-ГРС.АС</t>
  </si>
  <si>
    <t>Приложение №1 к Акту №222.7-ГРС.АС от 01.06.2023</t>
  </si>
  <si>
    <t>222.8-ГРС.АС</t>
  </si>
  <si>
    <t>устройство ж/б покрытия</t>
  </si>
  <si>
    <t>222.9-ГРС.АС</t>
  </si>
  <si>
    <t>Рм2 арматурой Ø5 Вр1 (30,4кг), с устройством опалубки</t>
  </si>
  <si>
    <t>АОРПИ песок</t>
  </si>
  <si>
    <r>
      <t xml:space="preserve">Приложение №1 к Акту №222.9-ГРС.АС от </t>
    </r>
    <r>
      <rPr>
        <sz val="11"/>
        <color rgb="FFFF0000"/>
        <rFont val="Times New Roman"/>
        <family val="1"/>
        <charset val="204"/>
      </rPr>
      <t>01.06.</t>
    </r>
    <r>
      <rPr>
        <sz val="11"/>
        <color theme="1"/>
        <rFont val="Times New Roman"/>
        <family val="1"/>
        <charset val="204"/>
      </rPr>
      <t>2023</t>
    </r>
  </si>
  <si>
    <t>222.10-ГРС.АС</t>
  </si>
  <si>
    <t>ж/б покрытия из бетона кл.В20 F150 W6 (0,8м3)</t>
  </si>
  <si>
    <r>
      <t xml:space="preserve">Приложение №1 к Акту №222.10-ГРС.АС от </t>
    </r>
    <r>
      <rPr>
        <sz val="11"/>
        <color rgb="FFFF0000"/>
        <rFont val="Times New Roman"/>
        <family val="1"/>
        <charset val="204"/>
      </rPr>
      <t>01.06</t>
    </r>
    <r>
      <rPr>
        <sz val="11"/>
        <color theme="1"/>
        <rFont val="Times New Roman"/>
        <family val="1"/>
        <charset val="204"/>
      </rPr>
      <t>.2023</t>
    </r>
  </si>
  <si>
    <t>Приложение №1 к Акту №220.1-ГРС.АС от 04.04.2023г.</t>
  </si>
  <si>
    <t>основания из щебня пролитого битумом (0,04 м3) с последующим устройством гидроизоляции скважины (6,2 м2) под фундамент ФОМ 21</t>
  </si>
  <si>
    <t>АОРПИ №12-1Б, документ о качестве бетонной смеси №9747 от 22.05.2023</t>
  </si>
  <si>
    <t>Спецификация арматуры</t>
  </si>
  <si>
    <t>№ п/п</t>
  </si>
  <si>
    <t>Наименование</t>
  </si>
  <si>
    <t>Кол-во</t>
  </si>
  <si>
    <t>Масса за
ед.</t>
  </si>
  <si>
    <t>Общ.масса</t>
  </si>
  <si>
    <t xml:space="preserve">сухого грунта в котловане под фундамент Рм2 механизированным способом  в отвал (237м3), доработка грунта вручную в отвал(5м3),  с перемещением лишнего грунта бульдозером на расстояние до 50 м (52 м3) </t>
  </si>
  <si>
    <t>Письмо №04-02/13129 от 23.05.2023</t>
  </si>
  <si>
    <t xml:space="preserve">Бетонирование </t>
  </si>
  <si>
    <t>222.11-ГРС.АС</t>
  </si>
  <si>
    <t>Бетонирование фундамента стен</t>
  </si>
  <si>
    <t>Стен фундамента Рм2 (2 шт), бетон класса В20 F150 W6 (15,62м3)</t>
  </si>
  <si>
    <t>АОРПИ №14Б от 29.05.2023, документ о качестве бетонной смеси №9842 от 29.05.2023</t>
  </si>
  <si>
    <t>основания фундамента Рм2 (2 шт), бетон класса В20 F150 W6 (4,38м3)</t>
  </si>
  <si>
    <t>АОРПИ №12-3Б от 15.04.2023, документ о качестве бетонной смеси №8993 от 15.04.2023, АОРПИ №5Б от 19.02.23, паспорт №7895 от 25.02.23 на изделие закладное</t>
  </si>
  <si>
    <t>подготовки из бетона В 7,5 (подбетонка) (2 м3 )</t>
  </si>
  <si>
    <t>АОРПИ №12-1Б, документ о качестве бетонной смеси №9747 от 22.05.2023.</t>
  </si>
  <si>
    <t>Приложение №1 к Акту №222.3-ГРС.АС от 29.05.2023г., Протокол испытаний №1П-Рм2 от 29.05.2023г.</t>
  </si>
  <si>
    <t>Приложение №1 к Акту №222.5-ГРС.АС от 05.06.2023,Протокол испытаний №1Ф-Рм2 от 05.06.2023г.</t>
  </si>
  <si>
    <t>Приложение №1 к Акту №222.6-ГРС.АС от 12.06.2023, Протокол испытаний №1Ф-Рм2 от 12.06.2023г.</t>
  </si>
  <si>
    <t>АОРПИ №19Б от 05.06.2023, документ о качестве бетонной смеси №9998 от 05.06.2023</t>
  </si>
  <si>
    <t>Приложение №1 к Акту №222.4-ГРС.АС от 29.05.2023г.</t>
  </si>
  <si>
    <t>АОРПИ №15Б от 29.05.2023, документ о качестве бетонной смеси №9889 от 29.05.2023, АОРПИ №5Б от 19.02.23, паспорт №7895 от 25.02.23 на изделие закладное</t>
  </si>
  <si>
    <t>Приложение №1 к Акту №221.5-ГРС.АС от 30.05.2023г.</t>
  </si>
  <si>
    <t>Приложение №1 к Акту №221.7-ГРС.АС от 05.06.2023г.</t>
  </si>
  <si>
    <t>Приложение №1 к Акту №221.9-ГРС.АС от 06.06.2023г.</t>
  </si>
  <si>
    <t>Приложение №1 к Акту №221.6-ГРС.АС от 05.06.2023г. Протокол испытания №1П-ФОМ21 от 05..06.2023г.</t>
  </si>
  <si>
    <t>Приложение №1 к Акту №221.4-ГРС.АС от 29.05.2023г.,  Протокол испытания №1П-ФОМ21 от 29..05.2023г.</t>
  </si>
  <si>
    <t>Приложение №1 к Акту №220.6-ГРС.АС от 15.04.2023г.,Протокол испытаний №1П-ФОМ12 от 22.04.2023г.</t>
  </si>
  <si>
    <t>фундамента Рм2 горячим битумом по слою холодной битумной мастики за два раза (68м2)</t>
  </si>
  <si>
    <t>Приложение №1 к Акту №222.7-ГРС.АС от 13.06.2023</t>
  </si>
  <si>
    <t>заполнение пазух между фундаментом и емкостью песком.</t>
  </si>
  <si>
    <t>31.1-ГРС.АС</t>
  </si>
  <si>
    <t xml:space="preserve">сухого грунта в котловане под фундамент ФмМ1 механизированным способом  в отвал (142,7м3), доработка грунта вручную в отвал(2,3м3),  с перемещением лишнего грунта бульдозером на расстояние до 50 м (18,4м3) </t>
  </si>
  <si>
    <t>31.1.1-ГРС.АС</t>
  </si>
  <si>
    <t>31.1.2-ГРС.АС</t>
  </si>
  <si>
    <t>31.1.3-ГРС.АС</t>
  </si>
  <si>
    <t>основания фундамента ФмМ1 из щебня М400 фр.20-40 пролитого битумом  (4,8м3)</t>
  </si>
  <si>
    <t>ФмМ 1 арматурой  Ø10А400 (106,68 кг),  Ø12А400 (138,98 кг), Ø16А400 (127,2 кг), труба Ø32 (1,24 кг) и устройство опалубки фундамента.</t>
  </si>
  <si>
    <t xml:space="preserve">Приложение №1 к Акту №31.1.3-ГРС.АС от 28.02.2023 </t>
  </si>
  <si>
    <t>31.1.4-ГРС.АС</t>
  </si>
  <si>
    <t xml:space="preserve">Бетонирование фундамента   </t>
  </si>
  <si>
    <t>ФмМ1 (1 шт), бетон класса В20 F150 W6 (12,70м3)</t>
  </si>
  <si>
    <t>31.1.5-ГРС.АС</t>
  </si>
  <si>
    <t xml:space="preserve">Приложение №1 к Акту №31.1.5-ГРС.АС от 09.03.2023 </t>
  </si>
  <si>
    <t>пазух котлована фундамента ФмМ1 отрытым грунтом с послойным уплотнением с Куп=0,92  (126,6м3)</t>
  </si>
  <si>
    <t>31.1.6-ГРС.АС</t>
  </si>
  <si>
    <t>31.1.7-ГРС.АС</t>
  </si>
  <si>
    <t>ФмМ1 проникающей гидроизоляцией "ЛАХТА" (2,3 м2)</t>
  </si>
  <si>
    <t>31.2-ГРС.АС</t>
  </si>
  <si>
    <t>31.2.1-ГРС.АС</t>
  </si>
  <si>
    <t>31.2.2-ГРС.АС</t>
  </si>
  <si>
    <t>31.2.3-ГРС.АС</t>
  </si>
  <si>
    <t>31.2.4-ГРС.АС</t>
  </si>
  <si>
    <t>31.2.5-ГРС.АС</t>
  </si>
  <si>
    <t>31.2.6-ГРС.АС</t>
  </si>
  <si>
    <t>31.2.7-ГРС.АС</t>
  </si>
  <si>
    <t>ФмМ1(скв.55) мачта 2</t>
  </si>
  <si>
    <t>ФмМ1(скв.39) мачта 4</t>
  </si>
  <si>
    <t>ФмМ1 (скв.24) мачта 5</t>
  </si>
  <si>
    <t>31.3-ГРС.АС</t>
  </si>
  <si>
    <t>31.3.1-ГРС.АС</t>
  </si>
  <si>
    <t>31.3.2-ГРС.АС</t>
  </si>
  <si>
    <t>31.3.3-ГРС.АС</t>
  </si>
  <si>
    <t>31.3.4-ГРС.АС</t>
  </si>
  <si>
    <t>31.3.5-ГРС.АС</t>
  </si>
  <si>
    <t>31.3.6-ГРС.АС</t>
  </si>
  <si>
    <t>31.3.7-ГРС.АС</t>
  </si>
  <si>
    <t xml:space="preserve">Приложение №1 к Акту №31.2.3-ГРС.АС от 28.02.2023 </t>
  </si>
  <si>
    <t xml:space="preserve">Приложение №1 к Акту №31.2.5-ГРС.АС от 09.03.2023 </t>
  </si>
  <si>
    <t xml:space="preserve">Приложение №1 к Акту №31.2.6-ГРС.АС от 10.03.2023 </t>
  </si>
  <si>
    <t xml:space="preserve">Приложение №1 к Акту №31.3.3-ГРС.АС от 26.04.2023 </t>
  </si>
  <si>
    <t xml:space="preserve">Приложение №1 к Акту №31.3.5-ГРС.АС от 09.03.2023 </t>
  </si>
  <si>
    <t>ФмМ3 (скв.47) мачта 3</t>
  </si>
  <si>
    <t>31.4-ГРС.АС</t>
  </si>
  <si>
    <t>31.4.1-ГРС.АС</t>
  </si>
  <si>
    <t>31.4.2-ГРС.АС</t>
  </si>
  <si>
    <t>31.4.3-ГРС.АС</t>
  </si>
  <si>
    <t>31.4.4-ГРС.АС</t>
  </si>
  <si>
    <t>31.4.5-ГРС.АС</t>
  </si>
  <si>
    <t>31.4.6-ГРС.АС</t>
  </si>
  <si>
    <t>31.4.7-ГРС.АС</t>
  </si>
  <si>
    <t xml:space="preserve">Приложение №1 к Акту №31.4.3-ГРС.АС от 05.05.2023 </t>
  </si>
  <si>
    <t xml:space="preserve">Приложение №1 к Акту №31.4.5-ГРС.АС от 13.05.2023 </t>
  </si>
  <si>
    <t xml:space="preserve">Приложение №1 к Акту №31.4.6-ГРС.АС от 14.05.2023 </t>
  </si>
  <si>
    <t xml:space="preserve">Приложение №1 к Акту №31.4.7-ГРС.АС от 14.05.2023 </t>
  </si>
  <si>
    <t xml:space="preserve">Приложение №1 к Акту №31.3.7-ГРС.АС от 10.05.2023 </t>
  </si>
  <si>
    <t xml:space="preserve">Приложение №1 к Акту №31.2.7-ГРС.АС от 10.03.2023 </t>
  </si>
  <si>
    <t xml:space="preserve">Приложение №1 к Акту №31.1.7-ГРС.АС от 10.03.2023 </t>
  </si>
  <si>
    <t xml:space="preserve">сухого грунта в котловане под фундамент ФмМ3 механизированным способом  в отвал (142,7м3), доработка грунта вручную в отвал(2,3м3),  с перемещением лишнего грунта бульдозером на расстояние до 50 м (18,4м3) </t>
  </si>
  <si>
    <t>ФмМ3 (1 шт), бетон класса В20 F150 W6 (12,70м3)</t>
  </si>
  <si>
    <t>фундамента ФмМ3 горячим битумом по слою холодной битумной мастики за два раза (30,3м2)</t>
  </si>
  <si>
    <t>пазух котлована фундамента ФмМ3 отрытым грунтом с послойным уплотнением с Куп=0,92  (126,6м3)</t>
  </si>
  <si>
    <t>основания фундамента ФмМ3 из щебня М400 фр.20-40 пролитого битумом  (4,8м3)</t>
  </si>
  <si>
    <t>ФмМ3 проникающей гидроизоляцией "ЛАХТА" (2,3 м2)</t>
  </si>
  <si>
    <t>фундамента ФмМ1 горячим битумом по слою холодной битумной мастики за два раза (30,3м2)</t>
  </si>
  <si>
    <t>ФмМ3 арматурой  Ø10А400 (106,68 кг),  Ø12А400 (138,98 кг), Ø16А400 (127,2 кг) и устройство опалубки фундамента.</t>
  </si>
  <si>
    <t>ø12А400 ГОСТ34028-2016 L=2300</t>
  </si>
  <si>
    <t>ø10А400 ГОСТ34028-2016 L=950</t>
  </si>
  <si>
    <t>Труба ø32х1,5х1100 ГОС10704-91
L=1100</t>
  </si>
  <si>
    <t>С1</t>
  </si>
  <si>
    <t>С2</t>
  </si>
  <si>
    <t>Сетка 2С 12А400-200 265х265</t>
  </si>
  <si>
    <t>Сетка арматурная С2</t>
  </si>
  <si>
    <t>АОРПИ №11-3Б от 01.03.2023г, документ о качестве бетонной смеси №7981 от 01.03.2023</t>
  </si>
  <si>
    <t>АОРПИ №12-3Б от 27.04.2023г, документ о качестве бетонной смеси №8030 от 27.04.2023</t>
  </si>
  <si>
    <t>АОРПИ №13-1Б от 06.05.2023г, документ о качестве бетонной смеси №9640 от 06.05.2023</t>
  </si>
  <si>
    <t>АОРПИ №11-3Б от 01.03.2023г, документ о качестве бетонной смеси №7981 от 08.03.2023</t>
  </si>
  <si>
    <t>ПМ1</t>
  </si>
  <si>
    <t>72-01-7353/500-13-63/313-1-ГРС.АС, лист 33</t>
  </si>
  <si>
    <t xml:space="preserve">170.1-ГРС.АС </t>
  </si>
  <si>
    <t>основания фундамента Пм1 из щебня М400 фр.20-40 пролитого битумом  (4,1м3)</t>
  </si>
  <si>
    <t>170.2-ГРС.АС</t>
  </si>
  <si>
    <t>170.3-ГРС.АС</t>
  </si>
  <si>
    <t>Пм1 арматурой  Ø10А240 (50,22 кг),  Ø10А400 (129,69 кг), Ø12А400 (355,98 кг), Ø6А240 (7,42 кг) и устройство опалубки фундамента.</t>
  </si>
  <si>
    <t>170.4-ГРС.АС</t>
  </si>
  <si>
    <t>170.5-ГРС.АС</t>
  </si>
  <si>
    <t>170.6-ГРС.АС</t>
  </si>
  <si>
    <t>фундамента Пм1 горячим битумом по слою холодной битумной мастики за два раза (28,2м2)</t>
  </si>
  <si>
    <t>170.7-ГРС.АС</t>
  </si>
  <si>
    <t>170.8-ГРС.АС</t>
  </si>
  <si>
    <t>устройство насыпи</t>
  </si>
  <si>
    <t>устройство</t>
  </si>
  <si>
    <t xml:space="preserve"> насыпи над поверхностью земли из отвала (5м3)</t>
  </si>
  <si>
    <t>пазух котлована фундамента Пм1 отрытым грунтом с уплотнением (175,74м3)</t>
  </si>
  <si>
    <t>песчанной подушки под емкость(2,3м3)</t>
  </si>
  <si>
    <t>АОРПИ №10 от 14.01.2023г., документ о качестве №2Б/452-1 от 27.12.2022г.</t>
  </si>
  <si>
    <t xml:space="preserve">Приложение №1 к Акту №170.3-ГРС.АС от 29.05.2023 </t>
  </si>
  <si>
    <t xml:space="preserve">Бетонирование  фундамента   </t>
  </si>
  <si>
    <t>Пм1 (1 шт), бетон класса В20 F150 W6 (5,25м3) с устройством закладных деталей (31,56кг)</t>
  </si>
  <si>
    <t xml:space="preserve">Приложение №1 к Акту №170.6-ГРС.АС от 08.06.2023 </t>
  </si>
  <si>
    <t xml:space="preserve">Приложение №1 к Акту №170.5-ГРС.АС от 07.06.2023 </t>
  </si>
  <si>
    <t>ФОМ10</t>
  </si>
  <si>
    <t>11-ГРС.АС</t>
  </si>
  <si>
    <t>11.1-ГРС.АС</t>
  </si>
  <si>
    <t>11.2-ГРС.АС</t>
  </si>
  <si>
    <t>11.3-ГРС.АС</t>
  </si>
  <si>
    <t>11.4-ГРС.АС</t>
  </si>
  <si>
    <t>11.5-ГРС.АС</t>
  </si>
  <si>
    <t>11.6-ГРС.АС</t>
  </si>
  <si>
    <t>11.7-ГРС.АС</t>
  </si>
  <si>
    <t>11.8-ГРС.АС</t>
  </si>
  <si>
    <t>Приложение №1 к Акту №11-ГРС.АС от 20.05.2023г.</t>
  </si>
  <si>
    <t>Приложение №1 к Акту №11.1-ГРС.АС от 20.05.2023г.</t>
  </si>
  <si>
    <t>Приложение №1 к Акту №11.3-ГРС.АС от 21.05.2023г.</t>
  </si>
  <si>
    <t>основания фундамента Фом10 из щебня М400 фр.20-40 пролитого битумом  (2,4м3)</t>
  </si>
  <si>
    <t>ø12А400 ГОСТ34028-2016 L=п.м</t>
  </si>
  <si>
    <t>ø12А400 ГОСТ34028-2016 L=1850</t>
  </si>
  <si>
    <t>ø12А400 ГОСТ34028-2016 L=1320</t>
  </si>
  <si>
    <t>ø6А240 ГОСТ34028-2016 L=910</t>
  </si>
  <si>
    <t>ø10А240 ГОСТ34028-2016 L=1310</t>
  </si>
  <si>
    <t>Приложение №1 к Акту №170.4-ГРС.АС от 05.06.2023, Протокол испытания №1Ф-Пм1 от 05.06.2023г.</t>
  </si>
  <si>
    <t xml:space="preserve">Приложение №1 к Акту №170.1-ГРС.АС от 17.05.2023, </t>
  </si>
  <si>
    <t>Приложение №1 к Акту №170.2-ГРС.АС от 29.05.2023, Протокол испытания №1П-Пм1 от 29..05.2023г.</t>
  </si>
  <si>
    <t>11.9-ГРС.АС</t>
  </si>
  <si>
    <t xml:space="preserve">Приложение №1 к Акту №11.9-ГРС.АС от 06.06.2023 </t>
  </si>
  <si>
    <t xml:space="preserve">72-01-7353/500-13-63/313-1-ГРС.АС, лист 8 </t>
  </si>
  <si>
    <t>Приложение №1 к Акту №31.4.4-ГРС.АС от 13.05.2023, Протокол испытаний №1Ф-ФмМ3 от 13.05.2023г.</t>
  </si>
  <si>
    <t xml:space="preserve">подготовки из бетона В 7,5  (1,61м3) фундамента Пм1 </t>
  </si>
  <si>
    <r>
      <rPr>
        <sz val="11"/>
        <rFont val="Times New Roman"/>
        <family val="1"/>
        <charset val="204"/>
      </rPr>
      <t>АОРПИ №14Б от 29.05.2023г,</t>
    </r>
    <r>
      <rPr>
        <sz val="11"/>
        <color theme="1"/>
        <rFont val="Times New Roman"/>
        <family val="1"/>
        <charset val="204"/>
      </rPr>
      <t xml:space="preserve"> Документ о качестве бетонной смеси №9842 от 29.05.2023, АОРПИ №5Б от 19.02.23, паспорт №7895 от 25.02.23 на изделие закладное.</t>
    </r>
  </si>
  <si>
    <t>сухого грунта в котловане под фундамент Пм1 механизированным способом  в отвал (192,5м3) с доработкой грунта вручную в отвал(2,5м3). Уплотнение грунта толщ.0,3м пневмотрамбовками ПТР-1 с Куп=0,92 (7,5м3).  Перемещение лишнего грунта бульдозером на расстояние до 50 м (14,26м3).</t>
  </si>
  <si>
    <t>Приложение №1 к Акту №170-ГРС.АС от 16.05.2023, Протокол уплотнения грунта №8/ГРС от 16.05.2023г.</t>
  </si>
  <si>
    <t xml:space="preserve">сухого грунта в котловане под фундамент Фом10 вручную в отвал (10,14м3)  с перемещением лишнего грунта бульдозером на расстояние до 50 м (6,49 м3) </t>
  </si>
  <si>
    <t>основания из щебня пролитого битумом (0,06м3) с последующим устройством гидроизоляции скважины (9м2) под фундамент Фом10</t>
  </si>
  <si>
    <t>Фом10 арматурой Ø6А240 (9,6 кг), Ø12А400 (552 кг), Ø10А240 (56,7кг) с устройством опалубки</t>
  </si>
  <si>
    <t>ФОМ10 (1 шт), бетон класса В20 F150 W6 (8,42м3) с устройством закладных деталей МН 112-1 и МН128-1 -24,8 кг</t>
  </si>
  <si>
    <t>фундамента Фом10 горячим битумом по слою холодной битумной мастики за два раза (2,14 м2)</t>
  </si>
  <si>
    <t>пазух котлована фундамента Фом 10 отрытым грунтом с уплотнением (3,65м3)</t>
  </si>
  <si>
    <t>Фом10 проникающей гидроизоляцией "ЛАХТА" (3,6 м2)</t>
  </si>
  <si>
    <t>ямобуром под фундамент Фом10 глубиной 1,6 м Ø300 в отвал (0,66 м3) в количестве 6 шт c последующим перемещением лишнего грунта бульдозером на расстояние до 50м (0,88м3)</t>
  </si>
  <si>
    <t xml:space="preserve">подготовки из бетона В 7,5  (2,16 м3 ) фундамента Фом10 </t>
  </si>
  <si>
    <t>АОРПИ №14Б от 29.05.2023, документ о качестве бетонной смеси №9842 от 29.05.2023, АОРПИ №5Б от 19.02.23, паспорт №7895 от 25.02.23 на изделие закладное</t>
  </si>
  <si>
    <t>Приложение №1 к Акту №11.7-ГРС.АС от 05.06.2023г.</t>
  </si>
  <si>
    <t>Приложение №1 к Акту №11.6-ГРС.АС от 05.06.2023г. Протокол испытания №1П-ФОМ21 от 05..06.2023г.</t>
  </si>
  <si>
    <t>Приложение №1 к Акту №11.5-ГРС.АС от 29.05.2023г.</t>
  </si>
  <si>
    <r>
      <t xml:space="preserve">Приложение №1 к Акту №11.4-ГРС.АС от 29.05.2023г.,  </t>
    </r>
    <r>
      <rPr>
        <sz val="11"/>
        <rFont val="Times New Roman"/>
        <family val="1"/>
        <charset val="204"/>
      </rPr>
      <t>Протокол испытания №1П-ФОМ10 от 29..05.2023г.</t>
    </r>
  </si>
  <si>
    <t>Приложение №1 к Акту №11.2-ГРС.АС от 21.05.2023г.</t>
  </si>
  <si>
    <r>
      <rPr>
        <sz val="11"/>
        <rFont val="Times New Roman"/>
        <family val="1"/>
        <charset val="204"/>
      </rPr>
      <t>АОРПИ № 12-1Б от 22.05.2023,</t>
    </r>
    <r>
      <rPr>
        <sz val="11"/>
        <color theme="1"/>
        <rFont val="Times New Roman"/>
        <family val="1"/>
        <charset val="204"/>
      </rPr>
      <t xml:space="preserve"> Документ о качестве бетонной смеси №9747 от 22.05.2023</t>
    </r>
  </si>
  <si>
    <t>АОРПИ №8Б от 21.02.2023г, документ о качестве бетонной смеси №7849 от 21.02.2023</t>
  </si>
  <si>
    <t>Приложение №1 к Акту №31.1-ГРС.АС от 21.02.2023</t>
  </si>
  <si>
    <t>Приложение №1 к Акту №31.1.1-ГРС.АС от 21.02.2023</t>
  </si>
  <si>
    <t>Приложение №1 к Акту №31.2-ГРС.АС от 21.02.2023</t>
  </si>
  <si>
    <t>Приложение №1 к Акту №31.2.1-ГРС.АС от 21.02.2023</t>
  </si>
  <si>
    <t>Приложение №1 к Акту №31.3-ГРС.АС от 19.04.2023</t>
  </si>
  <si>
    <t>Приложение №1 к Акту №31.3.1-ГРС.АС от 19.04.2023</t>
  </si>
  <si>
    <t>Приложение №1 к Акту №31.4-ГРС.АС от 28.04.2023</t>
  </si>
  <si>
    <t>Приложение №1 к Акту №31.4.1-ГРС.АС от 28.04.2023</t>
  </si>
  <si>
    <t>подготовки из бетона В 7,5 (подбетонка) (0,9 м3 ) для фундамента ФмМ1</t>
  </si>
  <si>
    <t>Навес 1 (фундамент Ф1)</t>
  </si>
  <si>
    <t>72-01-7353/500-13-63/313-1-ГРС.АС, лист 24</t>
  </si>
  <si>
    <t>основания из щебня пролитого битумом (10,1м3) под фундамент Ф1.</t>
  </si>
  <si>
    <t>подготовки из цементно-песчаной смеси   (4,1 м3 ) для фундамента Ф1</t>
  </si>
  <si>
    <t>Ф1 арматурой Ø8А400 (239,7 кг), Ø12А400 (506,8 кг),с устройством опалубки</t>
  </si>
  <si>
    <t>Ф1 выше уровня земли 1 слоем проникающей гидроизоляцией "ЛАХТА" (13,9 м2)</t>
  </si>
  <si>
    <t xml:space="preserve">Приложение №1 к Акту №31.1.4-ГРС.АС от 08.03.2023г., Протокол испытаний №1Ф-ФмМ1 от 08.03.2023г. </t>
  </si>
  <si>
    <t xml:space="preserve">АОРПИ №20Б от 13.06.2023, документ о качестве бетонной смеси №10172 от 13.06.2023, </t>
  </si>
  <si>
    <t xml:space="preserve">72-01-7353/500-13-63/313-1-ГРС.АС, лист 24
</t>
  </si>
  <si>
    <t>АОРПИ №11-1/ГРС.АС от 28.03.23, сертификаты качества №2286-56 от 09.03.23, 86-982 от 16.02.23, на арматуру, АОРПИ №3/АС от 01.02.23, паспорт б/н на опалубочную систему АОРПИ №4/АС от 01.02.23, паспорт №3262 от 12.12.17 на проволоку Ø1,2</t>
  </si>
  <si>
    <t>ФОМ21 (1 шт), бетон класса В20 F150 W6 (1,13м3) с устройством закладных деталей МН 112-1  -12,4 кг</t>
  </si>
  <si>
    <t xml:space="preserve">Приложение №1 к Акту №31.1.6-ГРС.АС от 10.03.2023г., Протокол уплотнения грунта № </t>
  </si>
  <si>
    <t>из бетона В 7,5  (0,9 м3 ) для фундамента ФмМ1</t>
  </si>
  <si>
    <t>Приложение №1 к Акту №31.1.2-ГРС.АС от 28.02.2023г., 
Протокол испытаний №1П-ФмМ1 от 28.002.2023</t>
  </si>
  <si>
    <t>ø12А400 ГОСТ34028-2016 L=2235</t>
  </si>
  <si>
    <t>ø12А400 ГОСТ34028-2016 L=2170</t>
  </si>
  <si>
    <t>ø10А240 ГОСТ34028-2016 L=1350</t>
  </si>
  <si>
    <t>121.2-ГРС.АС</t>
  </si>
  <si>
    <t>Фом 4 проникающей гидроизоляцией "ЛАХТА" (2,28 м2)</t>
  </si>
  <si>
    <t>Приложение №1 к Акту №121.2-ГРС.АС от 20.03.2023г.</t>
  </si>
  <si>
    <t>пазух котлована фундамента Рм2 отрытым грунтом(190м3) с уплотнением пневмотрамбовками ПТР-1 с Куп=0,92 (15,0м3)</t>
  </si>
  <si>
    <t>19.0+B144+A144+A144:J144</t>
  </si>
  <si>
    <t>1-Ф1-ГРС.АС</t>
  </si>
  <si>
    <t>2-Ф1-ГРС.АС</t>
  </si>
  <si>
    <t>3-Ф1-ГРС.АС</t>
  </si>
  <si>
    <t>4-Ф1-ГРС.АС</t>
  </si>
  <si>
    <t>5-Ф1-ГРС.АС</t>
  </si>
  <si>
    <t>7-Ф1-ГРС.АС</t>
  </si>
  <si>
    <t>Приложение №1 к Акту №2-Ф1-ГРС.АС от 03.06.2023г.</t>
  </si>
  <si>
    <t>8-Ф1-ГРС.АС</t>
  </si>
  <si>
    <t>9-Ф1-ГРС.АС</t>
  </si>
  <si>
    <t>фундамента Ф1 горячим битумом по слою холодной битумной мастики за два раза ( 106,0м2)</t>
  </si>
  <si>
    <t xml:space="preserve"> из бетона В 7,5  (0,9 м3 ) для фундамента ФмМ1</t>
  </si>
  <si>
    <t>Приложение №1 к Акту №31.2.2-ГРС.АС от 28.02.2023г., Протокол испытаний №1П-ФмМ1 от 28.02.2023</t>
  </si>
  <si>
    <t>Приложение №1 к Акту №31.2.4-ГРС.АС от 08.03.2023г., Протокол испытаний №1Ф-ФмМ1 от 08.03.2023</t>
  </si>
  <si>
    <t>Приложение №1 к Акту №31.3.2-ГРС.АС от 26.04.2023г., Протокол испытаний №1П-ФмМ1 от 26.04.2023</t>
  </si>
  <si>
    <t>Приложение №1 к Акту №31.3.4-ГРС.АС от 04.05.2023г., Протокол испытаний №1Ф-ФмМ1 от 04.05.2023</t>
  </si>
  <si>
    <t xml:space="preserve">Приложение №1 к Акту №31.3.6-ГРС.АС от 10.05.2023г., Протокол уплотнения грунта №13/ГРС от 10.05.2023 </t>
  </si>
  <si>
    <t>10-Ф1-ГРС.АС</t>
  </si>
  <si>
    <t>закладных деталей (фундаментные болты ø 30) -(348,32 кг)</t>
  </si>
  <si>
    <t xml:space="preserve">Устройством  </t>
  </si>
  <si>
    <r>
      <t xml:space="preserve"> </t>
    </r>
    <r>
      <rPr>
        <sz val="11"/>
        <color rgb="FFFF0000"/>
        <rFont val="Times New Roman"/>
        <family val="1"/>
        <charset val="204"/>
      </rPr>
      <t>АОРПИ №5Б от 19.02.23, паспорт №7895 от 25.02.23 на изделие закладное</t>
    </r>
    <r>
      <rPr>
        <sz val="11"/>
        <rFont val="Times New Roman"/>
        <family val="1"/>
        <charset val="204"/>
      </rPr>
      <t xml:space="preserve"> (фундаментные болты  ø 30) </t>
    </r>
  </si>
  <si>
    <t>Приложение №1 к Акту №175-ГРС.АС от 01.04.2023г.</t>
  </si>
  <si>
    <t>Приложение№1 к акту №134.1-ГРС.АС от 16.02.2023г.</t>
  </si>
  <si>
    <t>179.1-ГРС.АС</t>
  </si>
  <si>
    <t>Фом 11 проникающей гидроизоляцией "ЛАХТА" (26,52 м2)</t>
  </si>
  <si>
    <t>Приложение №1 к Акту №179.1-ГРС.АС от 01.04.2023г.</t>
  </si>
  <si>
    <t>87.1-ГРС.АС</t>
  </si>
  <si>
    <t>перемещение лишнего грунта</t>
  </si>
  <si>
    <t>бульдозером на рсстояние до 50м (37,7м2)</t>
  </si>
  <si>
    <t>Приложение №87-ГРС.АС</t>
  </si>
  <si>
    <t>пазух котлована фундамента Фом 12 отрытым грунтом с уплотнением (13,73м3), перемещение лишнего грунта бульдозером на расстояние до 50м (15,85м3)</t>
  </si>
  <si>
    <t>Приложение №1 к Акту №220.8-ГРС.АС от 01.05.2023г., протокол уплотнения грунта №20/ГРС от 01.05.2023г.</t>
  </si>
  <si>
    <t>41.1-ГРС.АС</t>
  </si>
  <si>
    <t xml:space="preserve"> закладных изделий МН 112-1 (12,4кг)</t>
  </si>
  <si>
    <t>Приложение №41.1-ГРС.АС</t>
  </si>
  <si>
    <t>107.1-ГРС.АС</t>
  </si>
  <si>
    <t>пазух котлована фундаментов Фм17 отрытым грунтом с послойным уплотнением (140,16 м3)</t>
  </si>
  <si>
    <t>Фом 17 проникающей гидроизоляцией "ЛАХТА" (50м2)</t>
  </si>
  <si>
    <t xml:space="preserve">72-01-7353/500-13-63/313-1-ГРС.АС, лист 15 </t>
  </si>
  <si>
    <t>149.4-ГРС.АС</t>
  </si>
  <si>
    <t>Доработка</t>
  </si>
  <si>
    <t>грунта вручную в отвал на гл.0,1 м (20м3)</t>
  </si>
  <si>
    <t>Приложение №1 к Акту №107-ГРС.АС от 20.02.2023г.</t>
  </si>
  <si>
    <t>149.5-ГРС.АС</t>
  </si>
  <si>
    <t>149.6-ГРС.АС</t>
  </si>
  <si>
    <t>Фом 17 проникающей гидроизоляцией "ЛАХТА" (50,0м2)</t>
  </si>
  <si>
    <t>Фом 17-1 проникающей гидроизоляцией "ЛАХТА" (2,1 м2)</t>
  </si>
  <si>
    <t>Приложение №1 к Акту №149.5-ГРС.АС от 07.04.2023г.</t>
  </si>
  <si>
    <t>Приложение №1 к Акту №149.6-ГРС.АС от 07.04.2023г.</t>
  </si>
  <si>
    <t>149.1-ГРС.АС</t>
  </si>
  <si>
    <t>Приложение №149.1-ГРС.АС от 01.04.2023, протокол испытания 1Ф-ФОМ17-1 от 01.04.2023г</t>
  </si>
  <si>
    <t>149.3-ГРС.АС</t>
  </si>
  <si>
    <t xml:space="preserve">фундамента ФОМ 17-1 горячим битумом по слою холодной битумной мастики за два раза (29,0 м2) </t>
  </si>
  <si>
    <t>Приложение №149.3-ГРС.АС от 02.04.2023г.</t>
  </si>
  <si>
    <t>пазух фундамента ФОМ17, ФОМ17-1 отрытым грунтом с уплотнением (301,0 м3), с перемещением лишнего грунта бульдозером на рсстояние до 50м (94,0м3)</t>
  </si>
  <si>
    <t xml:space="preserve"> .</t>
  </si>
  <si>
    <t>сухого грунта в котловане под фундамент Фм5  (37,2м3), доработка грунта в котловане на глубину 0,1 вручную в отвал (2,8м3) .</t>
  </si>
  <si>
    <t>72-01-7353/500-13-63/313-1-ГРС.АС, лист 17</t>
  </si>
  <si>
    <r>
      <t>Приложение №1 к Акту №93-ГРС.АС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</si>
  <si>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№93-ГРС.АС от 03.07.2023г.</t>
  </si>
  <si>
    <t xml:space="preserve">подготовки из бетона В 7,5  (0,60 м3 ) фундамента Фм5 </t>
  </si>
  <si>
    <t>уплотненного щебнем основания  (9,2м3), подготовки из щебня пролитого битумом (7,84м3) под фундамент Фм5</t>
  </si>
  <si>
    <t xml:space="preserve">Фм5 (4шт) </t>
  </si>
  <si>
    <t>Фм6 (3 шт)</t>
  </si>
  <si>
    <t>Фм7 (2 шт)</t>
  </si>
  <si>
    <t>93.1-ГРС.АС</t>
  </si>
  <si>
    <t>сухого грунта в котловане под фундамент Фм5  (27,9м3), доработка грунта в котловане на глубину 0,1 вручную в отвал (2,1м3) .</t>
  </si>
  <si>
    <t>уплотненного щебнем основания  (6,9м3), подготовки из щебня пролитого битумом (5,88м3) под фундамент Фм5</t>
  </si>
  <si>
    <t xml:space="preserve">подготовки из бетона В 7,5  (0,45 м3 ) фундамента Фм5 </t>
  </si>
  <si>
    <t>93.2-ГРС.АС</t>
  </si>
  <si>
    <t>сухого грунта в котловане под фундамент Фм5  (18,6м3), доработка грунта в котловане на глубину 0,1 вручную в отвал (1,4м3) .</t>
  </si>
  <si>
    <t>уплотненного щебнем основания  (6,9м3), подготовки из щебня пролитого битумом (3,92м3) под фундамент Фм5</t>
  </si>
  <si>
    <r>
      <t>Приложение №1 к Акту №93.2-ГРС.АС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</si>
  <si>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№93.2-ГРС.АС от 03.07.2023г.</t>
  </si>
  <si>
    <t xml:space="preserve">подготовки из бетона В 7,5  (0,30 м3 ) фундамента Фм5 </t>
  </si>
  <si>
    <t>Приложение №1 к Акту №93.2-ГРС.АС от 04.07.2023г.,  Протокол испытания №1Ф-Фм5 от 04.07.2023г.</t>
  </si>
  <si>
    <t xml:space="preserve">72-01-7353/500-13-63/313-1-ГРС.АС, лист 17
</t>
  </si>
  <si>
    <t>Приложение №1 к Акту 93-ГРС.АС от 12.07.2023г.</t>
  </si>
  <si>
    <t>АОРПИ №20Б от 04.07.2023г.,  документ о качестве бетонной смеси №10005 от 04.07.2023</t>
  </si>
  <si>
    <t>Приложение №1 к Акту №93-ГРС.АС от 4.07.2023г.,  Протокол испытания №1П-Фм5 от 04.07.2023г.</t>
  </si>
  <si>
    <t>Фм5 бетон класса В20 F150 W6 (5,36м3)</t>
  </si>
  <si>
    <t>АОРПИ №11-2/ГРС.АС от 18.05.23, сертификаты качества №2286-125 от 16.08.23, 86-2735 от 30.04.23, №11 от 16.01.2023, сертификат качества №2286-138 от 26.08.2022г,  паспорт б/н на опалубочную систему АОРПИ №4/АС от 01.02.23, паспорт №3262 от 12.12.17 на проволоку Ø1,2</t>
  </si>
  <si>
    <t xml:space="preserve">Фм5 арматурой Ø10А2400 (108,4 кг), Ø10А400 (83,52 кг),с устройством опалубки и  закладных изделий (5,68кг) </t>
  </si>
  <si>
    <t xml:space="preserve">Фм5 арматурой Ø10А2400 (81,3 кг), Ø10А400 (62,64 кг),с устройством опалубки и закладных изделий (4,26кг) </t>
  </si>
  <si>
    <t>Приложение №1 к Акту 93.1-ГРС.АС от 12.07.2023г.</t>
  </si>
  <si>
    <t xml:space="preserve">Фм5 арматурой Ø10А2400 (54,2 кг), Ø10А400 (41,76 кг),с устройством опалубки и закладных изделий (2,84кг) </t>
  </si>
  <si>
    <t>Приложение №1 к Акту 93.2-ГРС.АС от 12.07.2023г.</t>
  </si>
  <si>
    <t>Приложение №1 к Акту №93--ГРС.АС от 21.07.2023г.</t>
  </si>
  <si>
    <t>Приложение №1 к Акту №93-ГРС.АС от 22.07.2023г., Протокол уплотнения №22/ГРС от 22.07.2023г.</t>
  </si>
  <si>
    <t xml:space="preserve">фундамента Фм5 горячим битумом по слою холодной битумной мастики за два раза ( 22м2)
</t>
  </si>
  <si>
    <t>пазух котлована фундамента Фм5 отрытым грунтом с послойным трамбованием пневмотрамбовками ПТР-1 с Куп=0,92  (36,24м3). Перемещение лишнего грунта  по площадке бульдозером на 50м (3,76м3)</t>
  </si>
  <si>
    <t>Фм5 выше уровня земли 1 слоем проникающей гидроизоляцией "ЛАХТА" (14 м2)</t>
  </si>
  <si>
    <t xml:space="preserve">Приложение №1 к Акту №93-ГРС.АС от 23.07.2023 </t>
  </si>
  <si>
    <t>Фм5 бетон класса В20 F150 W6 (4,02м3)</t>
  </si>
  <si>
    <t xml:space="preserve">Приложение №1 к Акту №93.1-ГРС.АС от 20.07.2023г. Протокол испытания №1Ф-Фм5 от 20.07.2023г. </t>
  </si>
  <si>
    <t xml:space="preserve">Приложение №1 к Акту №93-ГРС.АС от 20.07.2023г. Протокол испытания №1Ф-Фм5 от 20.07.2023г. </t>
  </si>
  <si>
    <t xml:space="preserve">фундамента Фм5 горячим битумом по слою холодной битумной мастики за два раза ( 16,5м2)
</t>
  </si>
  <si>
    <t>Приложение №1 к Акту №93.1--ГРС.АС от 21.07.2023г.</t>
  </si>
  <si>
    <r>
      <t>Приложение №1 к Акту №93.1-ГРС.АС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</si>
  <si>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№93.1-ГРС.АС от 03.07.2023г.</t>
  </si>
  <si>
    <t>Приложение №1 к Акту №93.1-ГРС.АС от 4.07.2023г.,  Протокол испытания №1Ф-Фм5 от 04.07.2023г.</t>
  </si>
  <si>
    <t>пазух котлована фундамента Фм5 отрытым грунтом с послойным трамбованием пневмотрамбовками ПТР-1 с Куп=0,92  (27,18м3). Перемещение лишнего грунта  по площадке бульдозером на 50м (2,82м3)</t>
  </si>
  <si>
    <t>Фм5 выше уровня земли 1 слоем проникающей гидроизоляцией "ЛАХТА" (10,5 м2)</t>
  </si>
  <si>
    <t xml:space="preserve">Приложение №1 к Акту №93.1-ГРС.АС от 23.07.2023 </t>
  </si>
  <si>
    <t>Фм5 бетон класса В20 F150 W6 (2,68м3)</t>
  </si>
  <si>
    <t xml:space="preserve">Приложение №1 к Акту №93.2-ГРС.АС от 20.07.2023г. Протокол испытания №1Ф-Фм5 от 20.07.2023г. </t>
  </si>
  <si>
    <t xml:space="preserve">фундамента Фм5 горячим битумом по слою холодной битумной мастики за два раза ( 11м2)
</t>
  </si>
  <si>
    <t>Приложение №1 к Акту №93.2--ГРС.АС от 21.07.2023г.</t>
  </si>
  <si>
    <t>пазух котлована фундамента Фм5 отрытым грунтом с послойным трамбованием пневмотрамбовками ПТР-1 с Куп=0,92  (18,12м3). Перемещение лишнего грунта  по площадке бульдозером на 50м (1,88м3)</t>
  </si>
  <si>
    <t>Приложение №1 к Акту №93.1-ГРС.АС от 22.07.2023г., Протокол уплотнения №23/ГРС от 22.07.2023г.</t>
  </si>
  <si>
    <t>Приложение №1 к Акту №93.2-ГРС.АС от 22.07.2023г., Протокол уплотнения №24/ГРС от 22.07.2023г.</t>
  </si>
  <si>
    <t xml:space="preserve">Приложение №1 к Акту №93.2-ГРС.АС от 23.07.2023 </t>
  </si>
  <si>
    <t>Фм5 выше уровня земли 1 слоем проникающей гидроизоляцией "ЛАХТА" (7 м2)</t>
  </si>
  <si>
    <t>Опорные 
конструкции 
под БКЭС</t>
  </si>
  <si>
    <t>разработка грунта ямобуром</t>
  </si>
  <si>
    <t>пазух фундамента Фом 13 отрытым грунтом с послойным уплотнением пневмотрамбовками ПТР-1 с Куп=0,92 (4,26 м3)</t>
  </si>
  <si>
    <t>113.4-ГРС.АС</t>
  </si>
  <si>
    <t>Приложение№1 к Акту №113.4-ГРС.АС от 13.04.2023г., протокол испытаний №ФОМ13/1 от 13.04.2023г.</t>
  </si>
  <si>
    <r>
      <t>Приложение №1 к Акту №221.8-ГРС.АС от 06.06.2023г.,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протокол испытаний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№ФОМ21/1 от 06.06.2023г.</t>
    </r>
  </si>
  <si>
    <r>
      <t>Приложение №1 к Акту №222.8-ГРС.АС от 14</t>
    </r>
    <r>
      <rPr>
        <sz val="11"/>
        <rFont val="Times New Roman"/>
        <family val="1"/>
        <charset val="204"/>
      </rPr>
      <t>.06.</t>
    </r>
    <r>
      <rPr>
        <sz val="11"/>
        <color theme="1"/>
        <rFont val="Times New Roman"/>
        <family val="1"/>
        <charset val="204"/>
      </rPr>
      <t>2023,</t>
    </r>
    <r>
      <rPr>
        <sz val="11"/>
        <rFont val="Times New Roman"/>
        <family val="1"/>
        <charset val="204"/>
      </rPr>
      <t xml:space="preserve"> Протокол испытаний №РМ2/1 от 14.06.2023</t>
    </r>
  </si>
  <si>
    <r>
      <t>Приложение №1 к Акту №11.8-ГРС.АС от 06.06.2023г.,</t>
    </r>
    <r>
      <rPr>
        <sz val="11"/>
        <rFont val="Times New Roman"/>
        <family val="1"/>
        <charset val="204"/>
      </rPr>
      <t xml:space="preserve"> Протокол уплотнения №ФОМ10/1 от 06.06.2023г.</t>
    </r>
  </si>
  <si>
    <t>223-ГРС.АС</t>
  </si>
  <si>
    <t>Приложение №1 к Акту №223-ГРС.АС от 18.03.2023г., протокол испытания №ФОМ18/1 от 18.03.2023г.</t>
  </si>
  <si>
    <t>ø10А400 ГОСТ34028-2016 L=1090</t>
  </si>
  <si>
    <t>ø12А400 ГОСТ34028-2016 L=970</t>
  </si>
  <si>
    <t>Приложение №149.4-ГРС.АС от 07.04.2023г., протокол испытания №ФОМ17/ГРС, №ФОМ17-1/ГРС от 07.04.2023г.</t>
  </si>
  <si>
    <t>из ЦПС (0,9 м3 ) для фундамента ФмМ3</t>
  </si>
  <si>
    <t>АОРПИ №13-6Б от 27.04.2023г, паспорт качества №2102, сертификат соответствия №ССБК.RU.ПБ26.Н00047</t>
  </si>
  <si>
    <t>Приложение №1 к Акту №31.4.2-ГРС.АС от 05.05.2023г.</t>
  </si>
  <si>
    <t>224-ГРС.АС</t>
  </si>
  <si>
    <t xml:space="preserve">пазух котлована фундамента Фом 18 отрытым грунтом с уплотнением (6,6м3), перемещение лишнего грунта бульдозером на расстояние до 50м (7,28м3). </t>
  </si>
  <si>
    <t>Приложение №1 к Акту №224-ГРС.АС от 18.03.2023г., протокол испытания №ФОМ19/1 от 18.03.2023г.</t>
  </si>
  <si>
    <t>пазух котлована фундамента Фом 19 отрытым грунтом с уплотнением (6,6м3), перемещение лишнего грунта бульдозером на расстояние до 50м (7,48м3)</t>
  </si>
  <si>
    <t>225-ГРС.АС</t>
  </si>
  <si>
    <t>пазух котлована фундамента Фом 20 отрытым грунтом с уплотнением (3,31м3), перемещение лишнего грунта бульдозером на расстояние до 50м (4,26м3)</t>
  </si>
  <si>
    <t>Приложение №1 к Акту №225-ГРС.АС от 18.03.2023г., протокол испытания №ФОМ20/1 от 18.03.2023г.</t>
  </si>
  <si>
    <t>225.1-ГРС.АС</t>
  </si>
  <si>
    <t>Приложение №1 к Акту №255.1-ГРС.АС от 18.03.2023г.</t>
  </si>
  <si>
    <t>224.1-ГРС.АС</t>
  </si>
  <si>
    <t>Фом 20 проникающей гидроизоляцией "ЛАХТА" (4,0м2)</t>
  </si>
  <si>
    <t>Приложение №1 к Акту №224.1-ГРС.АС от 18.03.2023г.</t>
  </si>
  <si>
    <t>Фом 19 проникающей гидроизоляцией "ЛАХТА" (4,0м2)</t>
  </si>
  <si>
    <t>АОРПИ №5/АС от 08.02.23, сертификат соответствия №04УПС1.RU.С02822 от 12.12.21г., паспорт №94 от 19.01.23 на щебень фр.20-40, АОРПИ №2/АС от 19.01.23 на битум БНД 60/90</t>
  </si>
  <si>
    <r>
      <t>Приложение №1 к Акту №1-Ф1-ГРС.АС от 02</t>
    </r>
    <r>
      <rPr>
        <sz val="11"/>
        <rFont val="Times New Roman"/>
        <family val="1"/>
        <charset val="204"/>
      </rPr>
      <t>.06.2023г.</t>
    </r>
  </si>
  <si>
    <t xml:space="preserve">сухого грунта в котловане под фундамент Ф1  (677,9м3), доработка грунта в котловане на глубину 0,1 вручную в отвал (33,0м3) с перемещением грунта бульдозером на расстояние до 50 м (35,2 м3). </t>
  </si>
  <si>
    <t>АОРПИ №13-6Б, паспорт качества №2102, Сертификат соответствия  №ССБК.RU.ПБ26.H00047</t>
  </si>
  <si>
    <t>Приложение №1 к Акту №3-Ф1-ГРС.АС от 04.06.2023г.</t>
  </si>
  <si>
    <t>Приложение №1 к Акту №4-Ф1-ГРС.АС от 05.06.2023г.</t>
  </si>
  <si>
    <t xml:space="preserve">АОРПИ №20Б от 06.06.2023, документ о качестве бетонной смеси №10172 от 06.06.2023, </t>
  </si>
  <si>
    <t xml:space="preserve">Приложение №1 к Акту №5-Ф1-ГРС.АС от 13.06.2023г. Протокол испытания №1Ф-Ф1 от 13.06.2023г. </t>
  </si>
  <si>
    <t>Приложение №1 к Акту №8-Ф1-ГРС.АС от 22.06.2023г.</t>
  </si>
  <si>
    <t>пазух котлована фундамента Ф1 отрытым грунтом с послойным трамбованием пневмотрамбовками (675,7м3), уплотнение грунта толщ.0.3м пневмотрамбовками с Куп=0,92 (35,2м3)</t>
  </si>
  <si>
    <t>Приложение №1 к Акту №9-Ф1-ГРС.АС от 23.06.2023г., Протокол испытания №10/ГРС от 23.06.2023г.</t>
  </si>
  <si>
    <t xml:space="preserve">Приложение №1 к Акту №10-Ф1-ГРС.АС от 23.06.2023 </t>
  </si>
  <si>
    <t>Приложение №1 к Акту №7-Ф1-ГРС.АС от 14.06.2023г.</t>
  </si>
  <si>
    <t>ø12А400 ГОСТ34028-2016 L=1760</t>
  </si>
  <si>
    <t>ø8А400 ГОСТ34028-2016 L=1060</t>
  </si>
  <si>
    <t>ø8А400 ГОСТ34028-2016 L=850</t>
  </si>
  <si>
    <t>ø8А400 ГОСТ34028-2016 L=550</t>
  </si>
  <si>
    <t>17,12+36,2=53,32</t>
  </si>
  <si>
    <t xml:space="preserve">Ф1 навеса Н1 (14 шт), бетон класса В20 F150 W6 (21,0м3) </t>
  </si>
  <si>
    <t>1-ОП-ГРС.АС</t>
  </si>
  <si>
    <t>2-ОП-ГРС.АС</t>
  </si>
  <si>
    <t>3-ОП-ГРС.АС</t>
  </si>
  <si>
    <t xml:space="preserve">Приложение №1 к Акту №170.8-ГРС.АС от 13.06.2023 </t>
  </si>
  <si>
    <t xml:space="preserve">   </t>
  </si>
  <si>
    <r>
      <t>Приложение №1 к Акту №170.7-ГРС.АС от 12.06.2023,  Протокол уплотнения грунта №9/ГРС от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rFont val="Times New Roman"/>
        <family val="1"/>
        <charset val="204"/>
      </rPr>
      <t>12.06.2</t>
    </r>
    <r>
      <rPr>
        <sz val="11"/>
        <color theme="1"/>
        <rFont val="Times New Roman"/>
        <family val="1"/>
        <charset val="204"/>
      </rPr>
      <t>023г.</t>
    </r>
  </si>
  <si>
    <t>72-01-7353/500-13-63/313-1-ГРС.АС, лист 35</t>
  </si>
  <si>
    <t xml:space="preserve">Приложение №1 к Акту №1-ОП-ГРС.АС от 02.07.2023 </t>
  </si>
  <si>
    <t>подготовки из щебня пролитгого битумом ( 0,1м3) и два слоя гидроизоляции гидроизолом ГИ-Г в два слоя в скважине (20м2)</t>
  </si>
  <si>
    <t xml:space="preserve">Приложение №1 к Акту №2-ОП-ГРС.АС от 02.07.2023 </t>
  </si>
  <si>
    <t xml:space="preserve">Приложение №1 к Акту №3-ОП-ГРС.АС от 03.07.2023 </t>
  </si>
  <si>
    <r>
      <t xml:space="preserve">под фундамент опоры глубиной 1,7м,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350 в отвал (1,7м3) с перемещением лишнего грунта бульдозером на расстояние до 50м (1,7м3)</t>
    </r>
  </si>
  <si>
    <t>опоры из бетона класса В20 F150 W6 (1,6 м3) с монтажем стальных опорных конструкций (труба 159х5,0 ВСт3пс-2 L=1820 - 10 шт.) - 345,6кг.</t>
  </si>
  <si>
    <t>АОРПИ №20Б от 13.06.2023, документ о качестве бетонной смеси №10172 от 13.06.2023, 
АОРПИ на трубу 159х5,0</t>
  </si>
  <si>
    <t>1-ВП</t>
  </si>
  <si>
    <t>1-ННБ</t>
  </si>
  <si>
    <t>ГСН</t>
  </si>
  <si>
    <t>1-НИ</t>
  </si>
  <si>
    <t>1-ОС</t>
  </si>
  <si>
    <t>1-СГ</t>
  </si>
  <si>
    <t>1-РГ</t>
  </si>
  <si>
    <t>1-УТ</t>
  </si>
  <si>
    <t>1-ОЗ</t>
  </si>
  <si>
    <t>1-ТР</t>
  </si>
  <si>
    <t>322-01-224/678-14-63/763-1-ГСН, лист 1</t>
  </si>
  <si>
    <t>СП 48.13330.2019 "Организация строительства", СП 62.13330.2011* "Газораспределительные системы"</t>
  </si>
  <si>
    <t>нанесение манжет "Терма-СТАР"</t>
  </si>
  <si>
    <t>Протягивание в пробуренную скважину</t>
  </si>
  <si>
    <t>грунт выемки</t>
  </si>
  <si>
    <t>снятие плодородного слоя почвы</t>
  </si>
  <si>
    <t xml:space="preserve">механизированная разработка грунта </t>
  </si>
  <si>
    <t xml:space="preserve">укладка трубопровода на проектные отметки </t>
  </si>
  <si>
    <t xml:space="preserve">обратная засыпка траншеи </t>
  </si>
  <si>
    <t xml:space="preserve">установка опознавательных знаков </t>
  </si>
  <si>
    <t xml:space="preserve">участки от ПК1+16 до ПК8+52,5, от ПК9+52,5 до ПК12 </t>
  </si>
  <si>
    <t>322-01-224/678-14-63/763-1-ГСН лист 3, 4, 10, 11</t>
  </si>
  <si>
    <t>укладка и балластировка стального газопровода в траншею</t>
  </si>
  <si>
    <t xml:space="preserve">ПК1+16 до ПК8+52,5, от ПК9+52,5 до ПК12 </t>
  </si>
  <si>
    <t xml:space="preserve">обратная засыпка газопровода на участках </t>
  </si>
  <si>
    <t>восстановление плодородного слоя</t>
  </si>
  <si>
    <t xml:space="preserve">(v=2802,1 м3) участках от ПК1+16 до ПК8+52,5, от ПК9+52,5 до ПК12 </t>
  </si>
  <si>
    <t>грунт выемки (v=1476 м3)</t>
  </si>
  <si>
    <t>Протягивание газопровода ду 700 в</t>
  </si>
  <si>
    <t>пробуренную скважину на участке ПК8+52,5 - ПК9+52,5</t>
  </si>
  <si>
    <t>сварка в основной газопровод</t>
  </si>
  <si>
    <t>2-ОС</t>
  </si>
  <si>
    <t>2-НИ</t>
  </si>
  <si>
    <t>2-ННБ</t>
  </si>
  <si>
    <t>грунт выемки (2802,1 м3)</t>
  </si>
  <si>
    <t xml:space="preserve">обеспыливание, обезжиривание стыков ду700 №57лс-64лс </t>
  </si>
  <si>
    <t xml:space="preserve">пескоструйная очистка, </t>
  </si>
  <si>
    <t>нанесение манжет</t>
  </si>
  <si>
    <t>"Терма-СТАР" на стыки ду 700 №57лс-64лс</t>
  </si>
  <si>
    <t xml:space="preserve">нанесение манжет </t>
  </si>
  <si>
    <t>ННБ на участке от  ПК17+9,5 - ПК18+28</t>
  </si>
  <si>
    <t>ННБ на участке от  ПК22 - ПК23+25</t>
  </si>
  <si>
    <t>3-ОС</t>
  </si>
  <si>
    <t>3-НИ</t>
  </si>
  <si>
    <t>3-ННБ</t>
  </si>
  <si>
    <t>пробуренную скважину на участке ПК17+9,5 - ПК18+28</t>
  </si>
  <si>
    <t>322-01-224/678-14-63/763-1-ГСН, лист 1, 5, 12</t>
  </si>
  <si>
    <t>322-01-224/678-14-63/763-1-ГСН, лист 1, 4, 11</t>
  </si>
  <si>
    <t>пробуренную скважину на участке ПК22 - ПК23+25</t>
  </si>
  <si>
    <t>4-ОС</t>
  </si>
  <si>
    <t>4-НИ</t>
  </si>
  <si>
    <t>нанесение манжет "Терма-СТМП"</t>
  </si>
  <si>
    <r>
      <t>Манжеты термоусаживающиеся "ТЕРМА-СТМП-720", ТУ 22.21.42-001-82119587-2019 Сертификат качества №040114 от 06.2023г. - 65</t>
    </r>
    <r>
      <rPr>
        <sz val="11"/>
        <rFont val="Times New Roman"/>
        <family val="1"/>
        <charset val="204"/>
      </rPr>
      <t xml:space="preserve"> шт.</t>
    </r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</si>
  <si>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8 шт.</t>
    </r>
  </si>
  <si>
    <r>
      <t xml:space="preserve">устройство временных грунтовых дорог (l= м.п.) на участках от ПК  до ПК , ПК  до ПК  (S= м2) </t>
    </r>
    <r>
      <rPr>
        <sz val="11"/>
        <color rgb="FFFF0000"/>
        <rFont val="Times New Roman"/>
        <family val="1"/>
        <charset val="204"/>
      </rPr>
      <t>данные геодезист</t>
    </r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</si>
  <si>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10 шт.</t>
    </r>
  </si>
  <si>
    <t>обеспыливание, обезжиривание стыков ду700 №149-154лс, 156лс, 163лс 165-166лс</t>
  </si>
  <si>
    <t xml:space="preserve"> "Терма-СТАР" на стыки ду 700 №149-154лс, 156лс, 163лс 165-166лс</t>
  </si>
  <si>
    <t>грунт выемки (v=2397,8 м3)</t>
  </si>
  <si>
    <t>2-СГ</t>
  </si>
  <si>
    <t>2-РГ</t>
  </si>
  <si>
    <t>2-УТ</t>
  </si>
  <si>
    <t>2-ТР</t>
  </si>
  <si>
    <t>2-ОЗ</t>
  </si>
  <si>
    <t>(v=1476 м3) на участке от ПК1+16 до ПК12</t>
  </si>
  <si>
    <t xml:space="preserve">(v=1476 м3) на участке от ПК1+16 до ПК8+52,5, от ПК9+52,5 до ПК12 </t>
  </si>
  <si>
    <t xml:space="preserve">ПК12 до ПК17+9,5, от ПК18+28 до ПК19 </t>
  </si>
  <si>
    <t>участки от ПК12 до ПК17+9,5</t>
  </si>
  <si>
    <t>ННБ на участке от ПК8+52,5 - ПК9+52,5</t>
  </si>
  <si>
    <t>(v=1024,5 м3) на участке от ПК12 до ПК19</t>
  </si>
  <si>
    <t>грунт выемки (v=1024,5 м3)</t>
  </si>
  <si>
    <t xml:space="preserve">(v=3866,3 м3) участках от ПК12 до ПК17+9,5, от ПК18+28 до ПК19 </t>
  </si>
  <si>
    <t>грунт выемки (3866,3 м3)</t>
  </si>
  <si>
    <t xml:space="preserve">(v=1024,5 м3) на участке от ПК12 до ПК17+9,5, от ПК18+28 до ПК19 </t>
  </si>
  <si>
    <t>322-01-224/678-14-63/763-1-ГСН лист 4, 5, 11, 12</t>
  </si>
  <si>
    <t>Труба электросварная прямошовная с наружным покрытием  Ø720х9-В-17Г1С-У-К52  ГОСТ 10706-76 ПЭПк-ЗС 3 ТУ 1394-015-05757848-2011. Устройство грунтозаполняемое балластирующее из текстильных материалов УБТБ/Б-700 - 126 шт. Паспорт №310 август 2023г. .</t>
  </si>
  <si>
    <t xml:space="preserve">Песок шлаковый для производства строительных работ - 1 м3 Сертификат качества б/н  от 16.08.2023г. </t>
  </si>
  <si>
    <t xml:space="preserve">Песок шлаковый для производства строительных работ - 0,2 м3 Сертификат качества б/н  от 16.08.2023г. </t>
  </si>
  <si>
    <t>Труба электросварная прямошовная с наружным покрытием  Ø720х9-В-17Г1С-У-К52  ГОСТ 10706-76 ПЭПк-ЗС 3 ТУ 1394-015-05757848-2011. - 107,82 м.п.</t>
  </si>
  <si>
    <t>обеспыливание, обезжиривание стыков ду700 №79-81лс, 85-89лс, 91,лс 95лс, 96лс, 98лс, 99лс</t>
  </si>
  <si>
    <t xml:space="preserve"> "Терма-СТАР" на стыки ду 700 №79-81лс, 85-89лс, 91,лс 95лс, 96лс, 98лс, 99лс</t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</si>
  <si>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10 шт.
Манжеты термоусаживающиеся "ТЕРМА-СТМП-720", ТУ 22.21.42-001-82119587-2019 Сертификат качества №040114 от 06.2023г. - 3 шт.</t>
    </r>
  </si>
  <si>
    <t>322-01-224/678-14-63/763-1-ГСН, лист 1, 4, 5, 11, 12</t>
  </si>
  <si>
    <t>Труба электросварная прямошовная с наружным покрытием  Ø720х9-В-17Г1С-У-К52  ГОСТ 10706-76 ПЭПк-ЗС 3 ТУ 1394-015-05757848-2011. Устройство грунтозаполняемое балластирующее из текстильных материалов УБТБ/Б-700 - 81 шт. Паспорт №115 сентябрь 2023</t>
  </si>
  <si>
    <r>
      <t>Манжеты термоусаживающиеся "ТЕРМА-СТМП-720", ТУ 22.21.42-001-82119587-2019 Сертификат качества №040114 от 06.2023г. - 38</t>
    </r>
    <r>
      <rPr>
        <sz val="11"/>
        <rFont val="Times New Roman"/>
        <family val="1"/>
        <charset val="204"/>
      </rPr>
      <t xml:space="preserve"> шт.</t>
    </r>
  </si>
  <si>
    <t>обеспыливание, обезжиривание стыков ду700 №№90лс, 92лс-94лс, 97лс, 100лс-131лс, 305лс</t>
  </si>
  <si>
    <t>5-ОС</t>
  </si>
  <si>
    <t>5-НИ</t>
  </si>
  <si>
    <r>
      <t>Труба электросварная прямошовная с наружным покрытием  Ø720х9-В-17Г1С-У-К52  ГОСТ 10706-76 ПЭПк-ЗС 3 ТУ 1394-015-05757848-2011. -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157,22 м.п.</t>
    </r>
  </si>
  <si>
    <t>Труба электросварная прямошовная с наружным покрытием  Ø720х9-В-17Г1С-У-К52  ГОСТ 10706-76 ПЭПк-ЗС 3 ТУ 1394-015-05757848-2011. - 121,39 м.п.</t>
  </si>
  <si>
    <t>грунт выемки (v=3620,7 м3)</t>
  </si>
  <si>
    <t xml:space="preserve"> (l= 582,75 м.п.) на участках от ПК1+16 до ПК8+52,5, от ПК9+52,5 до ПК12 </t>
  </si>
  <si>
    <t xml:space="preserve"> (l=891,78 м.п.) на участках от ПК1+16 до ПК8+52,5, от ПК9+52,5 до ПК12 </t>
  </si>
  <si>
    <t>обеспыливание, обезжиривание стыков ду700 №№1лс-3лс, 8лс, 11лс-56лс, 65лс-78лс, 82лс-84лс, 132-142лс, 132лс, 139лс-142лс</t>
  </si>
  <si>
    <t>"Терма-СТМП" на стыки ду 700 №№1лс-3лс, 8лс, 11лс-56лс, 65лс-78лс, 82лс-84лс, 132-142лс, 132лс, 139лс-142лс</t>
  </si>
  <si>
    <t>"Терма-СТМП" на стыки ду 700 №90лс, 92лс-94лс, 97лс, 100лс-131лс, 305лс</t>
  </si>
  <si>
    <t>6-ОС</t>
  </si>
  <si>
    <t>6-НИ</t>
  </si>
  <si>
    <t>Протягивание футляра ду 1000 в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</si>
  <si>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</t>
    </r>
    <r>
      <rPr>
        <sz val="11"/>
        <rFont val="Times New Roman"/>
        <family val="1"/>
        <charset val="204"/>
      </rPr>
      <t>6 шт.</t>
    </r>
  </si>
  <si>
    <t>1-ПТ</t>
  </si>
  <si>
    <t>Протягивание газопровода ду 700 в футляр ду 1000</t>
  </si>
  <si>
    <t xml:space="preserve">Протягивание газопровода ду 700 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</si>
  <si>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- 44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</si>
  <si>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Труба электросварная прямошовная с наружным покрытием  Ø1020х10-В-17Г1С-У ГОСТ 10706-76 ПЭПк-ЗС 3,5 ТУ 1394-015-05757848-2011 Сертификат качества №20-216-12048-23 от 14.07.2023г., №20-216-12064-23 от 14.07.2023г., №20-216-12068-23 от 14.07.2023г., №20-216-12113-23 от 15.07.2023г. - 73 м.п.</t>
  </si>
  <si>
    <t xml:space="preserve"> "Терма-СТАР" на стыки ду 1000 №6лсф, №7лсф, №8лсф, №9лсф, №10лсф, №10/1лсф (6 стыков)</t>
  </si>
  <si>
    <t>обеспыливание, обезжиривание стыков ду 1000 №6лсф, №7лсф, №8лсф, №9лсф, №10лсф, №10/1лсф (6 стыков)</t>
  </si>
  <si>
    <t>ННБ на участке от  на ПК27+64,0 - ПК28+73,5  Футляр металлический Ø1020 (l=109,5 м)</t>
  </si>
  <si>
    <t xml:space="preserve">пробуренную скважину на участке ПК27+64,0 - ПК28+73,5 </t>
  </si>
  <si>
    <t xml:space="preserve">в футляр ду 1000 на участке ПК27+64,0 - ПК28+73,5 </t>
  </si>
  <si>
    <t>7-ОС</t>
  </si>
  <si>
    <t>7-НИ</t>
  </si>
  <si>
    <t>7-ННБ</t>
  </si>
  <si>
    <t>2-ПТ</t>
  </si>
  <si>
    <t>ННБ на участке от  на ПК ПК0+76 - ПК1+16 Футляр металлический Ø1020 (l=40 м)</t>
  </si>
  <si>
    <t>4-ННБ</t>
  </si>
  <si>
    <t>пробуренную скважину на участке ПК0+76 - ПК1+16</t>
  </si>
  <si>
    <t>в футляр ду 1000 на участке ПК0+76 - ПК1+16</t>
  </si>
  <si>
    <t>5-ННБ</t>
  </si>
  <si>
    <t>обеспыливание, обезжиривание стыков ду 1000 №1лсф, №2лсф, №2/1лсф (3 стыка)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</si>
  <si>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</t>
    </r>
    <r>
      <rPr>
        <sz val="11"/>
        <rFont val="Times New Roman"/>
        <family val="1"/>
        <charset val="204"/>
      </rPr>
      <t>3 шт.</t>
    </r>
  </si>
  <si>
    <t xml:space="preserve"> "Терма-СТАР" на стыки ду 1000 №1лсф, №2лсф, №2/1лсф (3 стыка)</t>
  </si>
  <si>
    <t xml:space="preserve">Песок шлаковый для производства строительных работ - 0,05 м3 Сертификат качества б/н  от 16.08.2023г. </t>
  </si>
  <si>
    <t>322-01-224/678-14-63/763-1-ГСН, лист 1, 3, 10</t>
  </si>
  <si>
    <t>Труба электросварная прямошовная с наружным покрытием  Ø1020х10-В-17Г1С-У ГОСТ 10706-76 ПЭПк-ЗС 3,5 ТУ 1394-015-05757848-2011 №20-216-10917-23 от 28.06.2023г Сертификат качества №20-216-10917-23 от 28.06.2023г. - 40 м.п.</t>
  </si>
  <si>
    <t>ННБ на участке от  на ПК1+64 - ПК2+14 Футляр металлический Ø1020 (l=50 м)</t>
  </si>
  <si>
    <t>пробуренную скважину на участке ПК1+64 - ПК2+14</t>
  </si>
  <si>
    <t>в футляр ду 1000 на участке ПК1+64 - ПК2+14</t>
  </si>
  <si>
    <t>Труба электросварная прямошовная с наружным покрытием  Ø1020х10-В-17Г1С-У ГОСТ 10706-76 ПЭПк-ЗС 3,5 ТУ 1394-015-05757848-2011 Сертификат качества №20-216-12048-23 от 14.07.2023г., №20-216-12064-23 от 14.07.2023г., №20-216-12068-23 от 14.07.2023г., №20-216-12113-23 от 15.07.2023г. - 50 м.п.</t>
  </si>
  <si>
    <t>обеспыливание, обезжиривание стыков ду 1000 №3лсф, №4лсф, №5лсф, №5/1лсф, (4 стыков)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</si>
  <si>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- 4 </t>
    </r>
    <r>
      <rPr>
        <sz val="11"/>
        <rFont val="Times New Roman"/>
        <family val="1"/>
        <charset val="204"/>
      </rPr>
      <t>шт.</t>
    </r>
  </si>
  <si>
    <t xml:space="preserve"> "Терма-СТАР" на стыки ду 1000 №3лсф, №4лсф, №5лсф, №5/1лсф, (4 стыков)</t>
  </si>
  <si>
    <t>ННБ на участке от  на ПК27+64,0 - ПК28+73,5  Футляр металлический Ø1020 (l=109,5 м)Футляр металлический Ø1020 на ПК19+10,5 - ПК19+83,5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</si>
  <si>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- 17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</si>
  <si>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Труба электросварная прямошовная с наружным покрытием  Ø1020х10-В-17Г1С-У ГОСТ 10706-76 ПЭПк-ЗС 3,5 ТУ 1394-015-05757848-2011 Сертификат качества №20-216-12064-23 от 14.07.2023г., №20-216-12065-23 от 14.07.2023г., - 50 м.п.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</si>
  <si>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- 13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</si>
  <si>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t>
  </si>
  <si>
    <t>ООО «КАМПУС» РБ, г. Уфа, ул. Кирова, д.15,</t>
  </si>
  <si>
    <t xml:space="preserve"> ИНН 0274969171, КПП 027401001, ОГРН 1210200051412</t>
  </si>
  <si>
    <t xml:space="preserve">ООО «УРАЛКОМ» РБ, г. Уфа, ул. Цюрупы, д. 44/1, этаж 2, офис 1, </t>
  </si>
  <si>
    <t>ИНН 0276158651, КПП 027401001,</t>
  </si>
  <si>
    <t xml:space="preserve"> тел.+7(347)224-94-94</t>
  </si>
  <si>
    <t>ООО "РубежСтрой" ОГРН 1067444028189, ИНН 7444049508, КПП 745501001, ОКПО 94832764</t>
  </si>
  <si>
    <t>455021, Челябинская область, г. о. Магнитогорский, г. Магнитогорск, Сиреневый проезд, д. 27, кв. 179</t>
  </si>
  <si>
    <t>Является членом ССРО «РЕПРА» Рег.№СРО-П-144-03032010</t>
  </si>
  <si>
    <t>Заместитель директора ООО «Кампус» Мухамедьянов Р.Р.</t>
  </si>
  <si>
    <t>Мухамедьянов Р.Р.</t>
  </si>
  <si>
    <t xml:space="preserve">  Приказ №6  от 19.04.2023г.</t>
  </si>
  <si>
    <t>Аюпов С.Ф.</t>
  </si>
  <si>
    <t xml:space="preserve">Инженер производственного отдела КПРБ «РУКС» Ишмухаметов А.И.  
</t>
  </si>
  <si>
    <t xml:space="preserve">Ишмухаметов А.И.  </t>
  </si>
  <si>
    <t>Приказ №17 от 07.09.2023г, С-02-133513.</t>
  </si>
  <si>
    <t>Главный инженер проекта ООО «Архитектурное бюро» Голощапов А.Е. Приказ №02/22 от 21.02.2022г.</t>
  </si>
  <si>
    <t>Голощапов А.Е.</t>
  </si>
  <si>
    <t xml:space="preserve">Руководитель группы строительного контроля ООО «Уралком» Базяев А.И.  </t>
  </si>
  <si>
    <t xml:space="preserve">Базяев А.И.  </t>
  </si>
  <si>
    <t xml:space="preserve">Приказ №5 от 02.05.2023г. </t>
  </si>
  <si>
    <t>ООО «Медиасервис»</t>
  </si>
  <si>
    <t>Начальник отдела СК ООО "Газпром газораспределение Самара"  Фомин Д.В.</t>
  </si>
  <si>
    <t>1.1-ИС</t>
  </si>
  <si>
    <t xml:space="preserve">Монтаж </t>
  </si>
  <si>
    <t>каркаса светодиодного экрана AET  NX P1.875 (1 шт.)</t>
  </si>
  <si>
    <t>Монтаж кабинетов</t>
  </si>
  <si>
    <t>(Рама под аппаратуру) Паспорт №Б/н, АОРПИ №1.1-ИС</t>
  </si>
  <si>
    <t>М05.23.001-ИОС5.5-ММ-ПРО2-ГЧ</t>
  </si>
  <si>
    <t>М05.23.001-ИОС5.5-ММ-ПРО2-ГЧ, СП 48.13330.2019 (Организация строительства) СП 520.1325800.2023 (Система электросвязи зданий и сооружений)</t>
  </si>
  <si>
    <t>1.2-ИС</t>
  </si>
  <si>
    <t>кабинетов светодиодного экрана AET  NX P1.875 (207 шт.)</t>
  </si>
  <si>
    <t>Установка светодиодных модулей</t>
  </si>
  <si>
    <t>(Кабинеты) Паспорт №Б/н, АОРПИ №1.1-ИС</t>
  </si>
  <si>
    <t>1.1-МЛ</t>
  </si>
  <si>
    <t>Металлических лотков (492 м.)</t>
  </si>
  <si>
    <t>пркладка кабеля</t>
  </si>
  <si>
    <t>Лоток перфорированный 150х100 L3000 35342 АОРПИ №МЛ1</t>
  </si>
  <si>
    <t>М05.23.001-ИОС5.5-ММ-ПРО2-ГЧ  л.1, л.8</t>
  </si>
  <si>
    <t>1.1-ПК</t>
  </si>
  <si>
    <t xml:space="preserve">Прокладка </t>
  </si>
  <si>
    <t>кабеля в метталическом лотке (620  м.)</t>
  </si>
  <si>
    <t>монтаж громкоговорителей</t>
  </si>
  <si>
    <t>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t>
  </si>
  <si>
    <t>1.1-ПГ</t>
  </si>
  <si>
    <t>Мнотаж</t>
  </si>
  <si>
    <t>потолочных громкоговорителей (42 шт.)</t>
  </si>
  <si>
    <t>Двухполосный потолочный корпусной громкоговоритель, 5" + 1", 40 Вт  АОРПИ №ПГ1</t>
  </si>
  <si>
    <t>Начальник строительного участка ООО «Уралком» Аюпов С.Ф.  Приказ №4 от 26.04.2023г.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</si>
</sst>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"/>
      <family val="2"/>
      <charset val="204"/>
    </font>
    <font>
      <b/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8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8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8"/>
      <color theme="1"/>
      <name val="Times New Roman"/>
      <family val="1"/>
      <charset val="204"/>
    </font>
    <font>
      <sz val="10"/>
      <name val="Verdana"/>
      <family val="2"/>
      <charset val="204"/>
    </font>
    <font>
      <sz val="11"/>
      <name val="Calibri"/>
      <family val="2"/>
      <charset val="204"/>
      <scheme val="minor"/>
    </font>
    <font>
      <vertAlign val="superscript"/>
      <sz val="12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i/>
      <sz val="10"/>
      <name val="Verdana"/>
      <family val="2"/>
      <charset val="204"/>
    </font>
    <font>
      <b/>
      <sz val="10"/>
      <name val="Verdana"/>
      <family val="2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i/>
      <sz val="12"/>
      <color rgb="FFFF0000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0"/>
      <color theme="1"/>
      <name val="Calibri"/>
      <family val="2"/>
      <charset val="204"/>
    </font>
    <font>
      <sz val="11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Calibri"/>
      <family val="2"/>
      <charset val="204"/>
    </font>
    <font>
      <sz val="8"/>
      <name val="Calibri"/>
      <family val="2"/>
      <charset val="204"/>
      <scheme val="minor"/>
    </font>
    <font>
      <sz val="9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color rgb="FF11111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/>
    <xf numFmtId="0" fontId="19" fillId="0" borderId="0"/>
  </cellStyleXfs>
  <cellXfs count="4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vertical="center" wrapText="1"/>
    </xf>
    <xf numFmtId="0" fontId="6" fillId="0" borderId="0" xfId="0" applyFont="1" applyBorder="1" applyAlignment="1">
      <alignment horizontal="center" vertical="top"/>
    </xf>
    <xf numFmtId="0" fontId="1" fillId="0" borderId="0" xfId="0" applyFont="1" applyAlignment="1">
      <alignment horizontal="right"/>
    </xf>
    <xf numFmtId="0" fontId="1" fillId="0" borderId="1" xfId="0" applyFont="1" applyBorder="1" applyAlignment="1"/>
    <xf numFmtId="0" fontId="1" fillId="0" borderId="0" xfId="0" applyFont="1" applyBorder="1" applyAlignment="1"/>
    <xf numFmtId="0" fontId="15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" fillId="0" borderId="0" xfId="0" applyFont="1" applyBorder="1"/>
    <xf numFmtId="0" fontId="1" fillId="0" borderId="1" xfId="0" applyFont="1" applyBorder="1"/>
    <xf numFmtId="0" fontId="17" fillId="0" borderId="0" xfId="0" applyFont="1"/>
    <xf numFmtId="0" fontId="18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1" xfId="0" quotePrefix="1" applyFont="1" applyBorder="1"/>
    <xf numFmtId="0" fontId="0" fillId="0" borderId="9" xfId="0" applyBorder="1" applyAlignment="1">
      <alignment wrapText="1"/>
    </xf>
    <xf numFmtId="0" fontId="6" fillId="0" borderId="0" xfId="0" applyFont="1" applyAlignment="1"/>
    <xf numFmtId="0" fontId="21" fillId="0" borderId="0" xfId="2" applyFont="1" applyFill="1" applyAlignment="1"/>
    <xf numFmtId="0" fontId="22" fillId="0" borderId="0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/>
    </xf>
    <xf numFmtId="0" fontId="7" fillId="0" borderId="0" xfId="2" applyFont="1" applyFill="1"/>
    <xf numFmtId="0" fontId="23" fillId="0" borderId="0" xfId="0" applyFont="1" applyAlignment="1">
      <alignment vertical="top"/>
    </xf>
    <xf numFmtId="0" fontId="21" fillId="0" borderId="0" xfId="2" applyFont="1" applyFill="1"/>
    <xf numFmtId="0" fontId="7" fillId="0" borderId="0" xfId="2" applyFont="1" applyFill="1" applyBorder="1"/>
    <xf numFmtId="0" fontId="7" fillId="0" borderId="0" xfId="2" applyFont="1" applyFill="1" applyBorder="1" applyAlignment="1"/>
    <xf numFmtId="0" fontId="7" fillId="0" borderId="0" xfId="2" applyFont="1" applyFill="1" applyAlignment="1"/>
    <xf numFmtId="0" fontId="24" fillId="0" borderId="0" xfId="0" applyFont="1" applyAlignment="1">
      <alignment horizontal="left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25" fillId="0" borderId="0" xfId="2" applyFont="1" applyFill="1" applyAlignment="1"/>
    <xf numFmtId="0" fontId="13" fillId="0" borderId="0" xfId="2" applyFont="1" applyFill="1"/>
    <xf numFmtId="0" fontId="9" fillId="0" borderId="0" xfId="2" applyFont="1" applyFill="1" applyAlignment="1">
      <alignment horizontal="center" vertical="top"/>
    </xf>
    <xf numFmtId="0" fontId="13" fillId="0" borderId="0" xfId="2" applyFont="1" applyFill="1" applyAlignment="1">
      <alignment horizontal="center"/>
    </xf>
    <xf numFmtId="0" fontId="13" fillId="0" borderId="0" xfId="2" applyFont="1" applyFill="1" applyBorder="1" applyAlignment="1"/>
    <xf numFmtId="0" fontId="13" fillId="0" borderId="0" xfId="2" applyFont="1" applyFill="1" applyBorder="1"/>
    <xf numFmtId="0" fontId="7" fillId="0" borderId="0" xfId="2" applyFont="1" applyFill="1" applyAlignment="1">
      <alignment horizontal="center"/>
    </xf>
    <xf numFmtId="0" fontId="13" fillId="0" borderId="0" xfId="2" applyFont="1" applyFill="1" applyAlignment="1"/>
    <xf numFmtId="0" fontId="13" fillId="0" borderId="0" xfId="2" applyFont="1" applyFill="1" applyAlignment="1">
      <alignment vertical="top"/>
    </xf>
    <xf numFmtId="0" fontId="9" fillId="0" borderId="0" xfId="2" applyFont="1" applyFill="1"/>
    <xf numFmtId="0" fontId="7" fillId="0" borderId="0" xfId="2" applyFont="1" applyFill="1" applyAlignment="1">
      <alignment wrapText="1"/>
    </xf>
    <xf numFmtId="0" fontId="13" fillId="0" borderId="0" xfId="2" applyFont="1" applyFill="1" applyAlignment="1">
      <alignment wrapText="1"/>
    </xf>
    <xf numFmtId="0" fontId="13" fillId="0" borderId="0" xfId="2" applyFont="1" applyFill="1" applyAlignment="1">
      <alignment vertical="center"/>
    </xf>
    <xf numFmtId="0" fontId="11" fillId="0" borderId="0" xfId="2" applyFont="1" applyFill="1" applyBorder="1" applyAlignment="1">
      <alignment horizontal="center" wrapText="1"/>
    </xf>
    <xf numFmtId="0" fontId="13" fillId="0" borderId="0" xfId="2" applyFont="1" applyFill="1" applyBorder="1" applyAlignment="1">
      <alignment horizontal="left"/>
    </xf>
    <xf numFmtId="0" fontId="11" fillId="0" borderId="0" xfId="2" applyFont="1" applyFill="1" applyBorder="1" applyAlignment="1">
      <alignment wrapText="1"/>
    </xf>
    <xf numFmtId="0" fontId="11" fillId="0" borderId="1" xfId="2" applyFont="1" applyFill="1" applyBorder="1" applyAlignment="1"/>
    <xf numFmtId="0" fontId="7" fillId="0" borderId="1" xfId="2" applyFont="1" applyFill="1" applyBorder="1"/>
    <xf numFmtId="0" fontId="11" fillId="0" borderId="0" xfId="2" applyFont="1" applyFill="1" applyBorder="1" applyAlignment="1">
      <alignment horizontal="left" wrapText="1"/>
    </xf>
    <xf numFmtId="0" fontId="13" fillId="0" borderId="0" xfId="2" applyFont="1" applyFill="1" applyBorder="1" applyAlignment="1">
      <alignment wrapText="1"/>
    </xf>
    <xf numFmtId="0" fontId="30" fillId="0" borderId="1" xfId="2" applyFont="1" applyFill="1" applyBorder="1" applyAlignment="1"/>
    <xf numFmtId="0" fontId="11" fillId="0" borderId="0" xfId="2" applyFont="1" applyFill="1" applyBorder="1" applyAlignment="1"/>
    <xf numFmtId="0" fontId="30" fillId="0" borderId="0" xfId="2" applyFont="1" applyFill="1" applyBorder="1" applyAlignment="1"/>
    <xf numFmtId="49" fontId="7" fillId="0" borderId="0" xfId="2" applyNumberFormat="1" applyFont="1" applyFill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top"/>
    </xf>
    <xf numFmtId="0" fontId="6" fillId="0" borderId="0" xfId="0" applyFont="1" applyBorder="1" applyAlignment="1">
      <alignment vertical="center" wrapText="1"/>
    </xf>
    <xf numFmtId="0" fontId="29" fillId="0" borderId="0" xfId="2" applyFont="1" applyFill="1" applyAlignment="1"/>
    <xf numFmtId="0" fontId="29" fillId="0" borderId="0" xfId="2" applyFont="1" applyFill="1" applyAlignment="1">
      <alignment horizontal="right"/>
    </xf>
    <xf numFmtId="0" fontId="1" fillId="0" borderId="0" xfId="0" applyFont="1" applyFill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0" fillId="0" borderId="12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8" xfId="0" applyBorder="1" applyAlignment="1">
      <alignment vertical="top" wrapText="1"/>
    </xf>
    <xf numFmtId="0" fontId="0" fillId="0" borderId="19" xfId="0" applyFill="1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31" fillId="0" borderId="4" xfId="0" applyFont="1" applyBorder="1" applyAlignment="1">
      <alignment horizontal="center" wrapText="1"/>
    </xf>
    <xf numFmtId="0" fontId="31" fillId="0" borderId="4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wrapText="1"/>
    </xf>
    <xf numFmtId="0" fontId="32" fillId="0" borderId="0" xfId="0" applyFont="1" applyAlignment="1">
      <alignment wrapText="1"/>
    </xf>
    <xf numFmtId="0" fontId="26" fillId="0" borderId="0" xfId="0" applyFont="1" applyFill="1" applyAlignment="1">
      <alignment horizontal="left"/>
    </xf>
    <xf numFmtId="14" fontId="29" fillId="2" borderId="0" xfId="2" applyNumberFormat="1" applyFont="1" applyFill="1" applyAlignment="1">
      <alignment horizontal="center"/>
    </xf>
    <xf numFmtId="0" fontId="0" fillId="0" borderId="10" xfId="0" applyBorder="1" applyAlignment="1">
      <alignment wrapText="1"/>
    </xf>
    <xf numFmtId="0" fontId="1" fillId="0" borderId="13" xfId="0" applyFont="1" applyFill="1" applyBorder="1" applyAlignment="1">
      <alignment horizontal="center" vertical="center" wrapText="1"/>
    </xf>
    <xf numFmtId="14" fontId="1" fillId="0" borderId="13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left" vertical="top"/>
    </xf>
    <xf numFmtId="0" fontId="22" fillId="0" borderId="11" xfId="0" applyFont="1" applyBorder="1" applyAlignment="1">
      <alignment horizontal="left" vertical="top" wrapText="1"/>
    </xf>
    <xf numFmtId="0" fontId="22" fillId="0" borderId="18" xfId="0" applyFont="1" applyFill="1" applyBorder="1" applyAlignment="1">
      <alignment vertical="top" wrapText="1"/>
    </xf>
    <xf numFmtId="0" fontId="22" fillId="0" borderId="20" xfId="0" applyFont="1" applyFill="1" applyBorder="1" applyAlignment="1">
      <alignment vertical="top" wrapText="1"/>
    </xf>
    <xf numFmtId="0" fontId="0" fillId="0" borderId="21" xfId="0" quotePrefix="1" applyFill="1" applyBorder="1" applyAlignment="1">
      <alignment vertical="top" wrapText="1"/>
    </xf>
    <xf numFmtId="0" fontId="1" fillId="0" borderId="27" xfId="0" applyFont="1" applyFill="1" applyBorder="1" applyAlignment="1">
      <alignment horizontal="center" vertical="center" wrapText="1"/>
    </xf>
    <xf numFmtId="0" fontId="1" fillId="0" borderId="13" xfId="0" quotePrefix="1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14" fontId="1" fillId="0" borderId="26" xfId="0" applyNumberFormat="1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top"/>
    </xf>
    <xf numFmtId="0" fontId="27" fillId="0" borderId="0" xfId="2" applyFont="1" applyFill="1" applyAlignment="1">
      <alignment horizontal="center" vertical="center"/>
    </xf>
    <xf numFmtId="0" fontId="0" fillId="3" borderId="4" xfId="0" applyFill="1" applyBorder="1" applyAlignment="1">
      <alignment wrapText="1"/>
    </xf>
    <xf numFmtId="0" fontId="22" fillId="0" borderId="13" xfId="0" applyFont="1" applyFill="1" applyBorder="1" applyAlignment="1">
      <alignment vertical="top" wrapText="1"/>
    </xf>
    <xf numFmtId="0" fontId="22" fillId="0" borderId="13" xfId="0" applyFont="1" applyBorder="1" applyAlignment="1">
      <alignment horizontal="left" vertical="top" wrapText="1"/>
    </xf>
    <xf numFmtId="0" fontId="0" fillId="0" borderId="13" xfId="0" quotePrefix="1" applyFill="1" applyBorder="1" applyAlignment="1">
      <alignment vertical="top" wrapText="1"/>
    </xf>
    <xf numFmtId="0" fontId="0" fillId="0" borderId="13" xfId="0" applyBorder="1" applyAlignment="1">
      <alignment horizontal="left" vertical="top" wrapText="1"/>
    </xf>
    <xf numFmtId="0" fontId="31" fillId="0" borderId="26" xfId="0" applyFont="1" applyBorder="1" applyAlignment="1">
      <alignment vertical="center" wrapText="1"/>
    </xf>
    <xf numFmtId="0" fontId="31" fillId="0" borderId="13" xfId="0" applyFont="1" applyBorder="1" applyAlignment="1">
      <alignment vertical="center" wrapText="1"/>
    </xf>
    <xf numFmtId="3" fontId="36" fillId="2" borderId="1" xfId="2" applyNumberFormat="1" applyFont="1" applyFill="1" applyBorder="1" applyAlignment="1">
      <alignment horizontal="left" vertical="center" wrapText="1"/>
    </xf>
    <xf numFmtId="0" fontId="37" fillId="0" borderId="13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/>
    <xf numFmtId="14" fontId="1" fillId="0" borderId="27" xfId="0" applyNumberFormat="1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 wrapText="1"/>
    </xf>
    <xf numFmtId="0" fontId="37" fillId="0" borderId="13" xfId="0" applyFont="1" applyFill="1" applyBorder="1" applyAlignment="1">
      <alignment horizontal="center" vertical="center" wrapText="1"/>
    </xf>
    <xf numFmtId="0" fontId="1" fillId="6" borderId="26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42" fillId="0" borderId="13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42" fillId="5" borderId="13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9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43" fillId="0" borderId="13" xfId="0" applyFont="1" applyFill="1" applyBorder="1" applyAlignment="1">
      <alignment horizontal="center" vertical="center" wrapText="1"/>
    </xf>
    <xf numFmtId="0" fontId="46" fillId="0" borderId="13" xfId="0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horizontal="center" vertical="center" wrapText="1"/>
    </xf>
    <xf numFmtId="0" fontId="7" fillId="0" borderId="29" xfId="0" applyFont="1" applyFill="1" applyBorder="1" applyAlignment="1">
      <alignment horizontal="center" vertical="center" wrapText="1"/>
    </xf>
    <xf numFmtId="14" fontId="7" fillId="0" borderId="25" xfId="0" applyNumberFormat="1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4" fontId="7" fillId="0" borderId="13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42" fillId="0" borderId="13" xfId="0" applyFont="1" applyFill="1" applyBorder="1" applyAlignment="1">
      <alignment horizontal="left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14" fontId="1" fillId="7" borderId="13" xfId="0" applyNumberFormat="1" applyFont="1" applyFill="1" applyBorder="1" applyAlignment="1">
      <alignment horizontal="center" vertical="center" wrapText="1"/>
    </xf>
    <xf numFmtId="0" fontId="37" fillId="7" borderId="13" xfId="0" applyFont="1" applyFill="1" applyBorder="1" applyAlignment="1">
      <alignment horizontal="left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37" fillId="0" borderId="28" xfId="0" applyFont="1" applyFill="1" applyBorder="1" applyAlignment="1">
      <alignment horizontal="left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left" vertical="center" wrapText="1"/>
    </xf>
    <xf numFmtId="0" fontId="3" fillId="0" borderId="26" xfId="0" applyFont="1" applyFill="1" applyBorder="1" applyAlignment="1">
      <alignment horizontal="center" vertical="center" wrapText="1"/>
    </xf>
    <xf numFmtId="0" fontId="42" fillId="0" borderId="26" xfId="0" applyFont="1" applyFill="1" applyBorder="1" applyAlignment="1">
      <alignment horizontal="center" vertical="center" wrapText="1"/>
    </xf>
    <xf numFmtId="0" fontId="46" fillId="0" borderId="26" xfId="0" applyFont="1" applyFill="1" applyBorder="1" applyAlignment="1">
      <alignment horizontal="left" vertical="center" wrapText="1"/>
    </xf>
    <xf numFmtId="0" fontId="37" fillId="0" borderId="25" xfId="0" applyFont="1" applyFill="1" applyBorder="1" applyAlignment="1">
      <alignment horizontal="left" vertical="center" wrapText="1"/>
    </xf>
    <xf numFmtId="0" fontId="37" fillId="0" borderId="26" xfId="0" applyFont="1" applyFill="1" applyBorder="1" applyAlignment="1">
      <alignment horizontal="left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left" vertical="center" wrapText="1"/>
    </xf>
    <xf numFmtId="0" fontId="3" fillId="0" borderId="25" xfId="0" applyFont="1" applyFill="1" applyBorder="1" applyAlignment="1">
      <alignment horizontal="center" vertical="center" wrapText="1"/>
    </xf>
    <xf numFmtId="0" fontId="6" fillId="0" borderId="25" xfId="0" applyFont="1" applyFill="1" applyBorder="1" applyAlignment="1">
      <alignment horizontal="center" vertical="center" wrapText="1"/>
    </xf>
    <xf numFmtId="0" fontId="6" fillId="0" borderId="26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 vertical="center" wrapText="1"/>
    </xf>
    <xf numFmtId="0" fontId="37" fillId="0" borderId="27" xfId="0" applyFont="1" applyFill="1" applyBorder="1" applyAlignment="1">
      <alignment horizontal="left" vertical="center" wrapText="1"/>
    </xf>
    <xf numFmtId="0" fontId="42" fillId="0" borderId="25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14" fontId="1" fillId="8" borderId="26" xfId="0" applyNumberFormat="1" applyFont="1" applyFill="1" applyBorder="1" applyAlignment="1">
      <alignment horizontal="center" vertical="center" wrapText="1"/>
    </xf>
    <xf numFmtId="0" fontId="37" fillId="8" borderId="13" xfId="0" applyFont="1" applyFill="1" applyBorder="1" applyAlignment="1">
      <alignment horizontal="left" vertical="center" wrapText="1"/>
    </xf>
    <xf numFmtId="0" fontId="1" fillId="8" borderId="28" xfId="0" applyFont="1" applyFill="1" applyBorder="1" applyAlignment="1">
      <alignment horizontal="center" vertical="center" wrapText="1"/>
    </xf>
    <xf numFmtId="14" fontId="1" fillId="8" borderId="13" xfId="0" applyNumberFormat="1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14" fontId="1" fillId="8" borderId="25" xfId="0" applyNumberFormat="1" applyFont="1" applyFill="1" applyBorder="1" applyAlignment="1">
      <alignment horizontal="center" vertical="center" wrapText="1"/>
    </xf>
    <xf numFmtId="14" fontId="1" fillId="8" borderId="27" xfId="0" applyNumberFormat="1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1" fillId="8" borderId="0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left" vertical="center" wrapText="1"/>
    </xf>
    <xf numFmtId="0" fontId="42" fillId="8" borderId="13" xfId="0" applyFont="1" applyFill="1" applyBorder="1" applyAlignment="1">
      <alignment horizontal="center" vertical="center" wrapText="1"/>
    </xf>
    <xf numFmtId="0" fontId="37" fillId="8" borderId="28" xfId="0" applyFont="1" applyFill="1" applyBorder="1" applyAlignment="1">
      <alignment horizontal="left" vertical="center" wrapText="1"/>
    </xf>
    <xf numFmtId="0" fontId="1" fillId="8" borderId="27" xfId="0" applyFont="1" applyFill="1" applyBorder="1" applyAlignment="1">
      <alignment horizontal="left" vertical="center" wrapText="1"/>
    </xf>
    <xf numFmtId="0" fontId="42" fillId="8" borderId="27" xfId="0" applyFont="1" applyFill="1" applyBorder="1" applyAlignment="1">
      <alignment horizontal="center" vertical="center" wrapText="1"/>
    </xf>
    <xf numFmtId="0" fontId="37" fillId="8" borderId="27" xfId="0" applyFont="1" applyFill="1" applyBorder="1" applyAlignment="1">
      <alignment horizontal="left" vertical="center" wrapText="1"/>
    </xf>
    <xf numFmtId="0" fontId="1" fillId="4" borderId="27" xfId="0" applyFont="1" applyFill="1" applyBorder="1" applyAlignment="1">
      <alignment horizontal="center" vertical="center" wrapText="1"/>
    </xf>
    <xf numFmtId="0" fontId="1" fillId="0" borderId="27" xfId="0" applyFont="1" applyFill="1" applyBorder="1" applyAlignment="1">
      <alignment horizontal="left" vertical="center" wrapText="1"/>
    </xf>
    <xf numFmtId="0" fontId="7" fillId="0" borderId="26" xfId="0" applyFont="1" applyFill="1" applyBorder="1" applyAlignment="1">
      <alignment horizontal="left" vertical="center" wrapText="1"/>
    </xf>
    <xf numFmtId="0" fontId="7" fillId="0" borderId="26" xfId="0" applyFont="1" applyFill="1" applyBorder="1" applyAlignment="1">
      <alignment horizontal="center" vertical="center" wrapText="1"/>
    </xf>
    <xf numFmtId="0" fontId="42" fillId="5" borderId="26" xfId="0" applyFont="1" applyFill="1" applyBorder="1" applyAlignment="1">
      <alignment horizontal="center" vertical="center" wrapText="1"/>
    </xf>
    <xf numFmtId="0" fontId="42" fillId="0" borderId="27" xfId="0" applyFont="1" applyFill="1" applyBorder="1" applyAlignment="1">
      <alignment horizontal="center" vertical="center" wrapText="1"/>
    </xf>
    <xf numFmtId="0" fontId="1" fillId="8" borderId="29" xfId="0" applyFont="1" applyFill="1" applyBorder="1" applyAlignment="1">
      <alignment horizontal="center" vertical="center" wrapText="1"/>
    </xf>
    <xf numFmtId="0" fontId="46" fillId="8" borderId="13" xfId="0" applyFont="1" applyFill="1" applyBorder="1" applyAlignment="1">
      <alignment horizontal="left" vertical="center" wrapText="1"/>
    </xf>
    <xf numFmtId="0" fontId="1" fillId="8" borderId="30" xfId="0" applyFont="1" applyFill="1" applyBorder="1" applyAlignment="1">
      <alignment horizontal="center" vertical="center" wrapText="1"/>
    </xf>
    <xf numFmtId="0" fontId="46" fillId="8" borderId="27" xfId="0" applyFont="1" applyFill="1" applyBorder="1" applyAlignment="1">
      <alignment horizontal="left" vertical="center" wrapText="1"/>
    </xf>
    <xf numFmtId="0" fontId="3" fillId="0" borderId="27" xfId="0" applyFont="1" applyFill="1" applyBorder="1" applyAlignment="1">
      <alignment horizontal="center" vertical="center" wrapText="1"/>
    </xf>
    <xf numFmtId="0" fontId="46" fillId="0" borderId="27" xfId="0" applyFont="1" applyFill="1" applyBorder="1" applyAlignment="1">
      <alignment horizontal="left" vertical="center" wrapText="1"/>
    </xf>
    <xf numFmtId="0" fontId="1" fillId="7" borderId="0" xfId="0" applyFont="1" applyFill="1" applyAlignment="1">
      <alignment horizontal="center" vertical="center" wrapText="1"/>
    </xf>
    <xf numFmtId="14" fontId="1" fillId="6" borderId="26" xfId="0" applyNumberFormat="1" applyFont="1" applyFill="1" applyBorder="1" applyAlignment="1">
      <alignment horizontal="center" vertical="center" wrapText="1"/>
    </xf>
    <xf numFmtId="0" fontId="46" fillId="6" borderId="26" xfId="0" applyFont="1" applyFill="1" applyBorder="1" applyAlignment="1">
      <alignment horizontal="left" vertical="center" wrapText="1"/>
    </xf>
    <xf numFmtId="14" fontId="1" fillId="6" borderId="13" xfId="0" applyNumberFormat="1" applyFont="1" applyFill="1" applyBorder="1" applyAlignment="1">
      <alignment horizontal="center" vertical="center" wrapText="1"/>
    </xf>
    <xf numFmtId="0" fontId="46" fillId="2" borderId="26" xfId="0" applyFont="1" applyFill="1" applyBorder="1" applyAlignment="1">
      <alignment horizontal="left" vertical="center" wrapText="1"/>
    </xf>
    <xf numFmtId="14" fontId="1" fillId="2" borderId="13" xfId="0" applyNumberFormat="1" applyFont="1" applyFill="1" applyBorder="1" applyAlignment="1">
      <alignment horizontal="center" vertical="center" wrapText="1"/>
    </xf>
    <xf numFmtId="0" fontId="1" fillId="0" borderId="26" xfId="0" quotePrefix="1" applyFont="1" applyFill="1" applyBorder="1" applyAlignment="1">
      <alignment horizontal="center" vertical="center" wrapText="1"/>
    </xf>
    <xf numFmtId="0" fontId="46" fillId="2" borderId="13" xfId="0" applyFont="1" applyFill="1" applyBorder="1" applyAlignment="1">
      <alignment horizontal="left" vertical="center" wrapText="1"/>
    </xf>
    <xf numFmtId="0" fontId="37" fillId="0" borderId="25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42" fillId="9" borderId="13" xfId="0" applyFont="1" applyFill="1" applyBorder="1" applyAlignment="1">
      <alignment horizontal="center" vertical="center" wrapText="1"/>
    </xf>
    <xf numFmtId="0" fontId="1" fillId="7" borderId="13" xfId="0" quotePrefix="1" applyFont="1" applyFill="1" applyBorder="1" applyAlignment="1">
      <alignment horizontal="center" vertical="center" wrapText="1"/>
    </xf>
    <xf numFmtId="16" fontId="1" fillId="0" borderId="13" xfId="0" applyNumberFormat="1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14" fontId="1" fillId="0" borderId="13" xfId="0" applyNumberFormat="1" applyFont="1" applyBorder="1" applyAlignment="1">
      <alignment horizontal="center" vertical="center" wrapText="1"/>
    </xf>
    <xf numFmtId="14" fontId="1" fillId="0" borderId="27" xfId="0" applyNumberFormat="1" applyFont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left" vertical="center" wrapText="1"/>
    </xf>
    <xf numFmtId="0" fontId="37" fillId="0" borderId="27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46" fillId="0" borderId="34" xfId="0" applyFont="1" applyFill="1" applyBorder="1" applyAlignment="1">
      <alignment horizontal="left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35" xfId="0" applyFont="1" applyFill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14" fontId="1" fillId="4" borderId="13" xfId="0" applyNumberFormat="1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top"/>
    </xf>
    <xf numFmtId="0" fontId="0" fillId="0" borderId="13" xfId="0" applyBorder="1"/>
    <xf numFmtId="14" fontId="1" fillId="2" borderId="26" xfId="0" applyNumberFormat="1" applyFont="1" applyFill="1" applyBorder="1" applyAlignment="1">
      <alignment horizontal="center" vertical="center" wrapText="1"/>
    </xf>
    <xf numFmtId="0" fontId="46" fillId="0" borderId="28" xfId="0" applyFont="1" applyFill="1" applyBorder="1" applyAlignment="1">
      <alignment horizontal="left" vertical="center" wrapText="1"/>
    </xf>
    <xf numFmtId="0" fontId="7" fillId="9" borderId="26" xfId="0" applyFont="1" applyFill="1" applyBorder="1" applyAlignment="1">
      <alignment horizontal="center" vertical="center" wrapText="1"/>
    </xf>
    <xf numFmtId="14" fontId="7" fillId="0" borderId="26" xfId="0" applyNumberFormat="1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left" vertical="center" wrapText="1"/>
    </xf>
    <xf numFmtId="0" fontId="46" fillId="0" borderId="25" xfId="0" applyFont="1" applyFill="1" applyBorder="1" applyAlignment="1">
      <alignment horizontal="left" vertical="center" wrapText="1"/>
    </xf>
    <xf numFmtId="14" fontId="1" fillId="5" borderId="13" xfId="0" applyNumberFormat="1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left" vertical="center" wrapText="1"/>
    </xf>
    <xf numFmtId="0" fontId="37" fillId="5" borderId="13" xfId="0" applyFont="1" applyFill="1" applyBorder="1" applyAlignment="1">
      <alignment horizontal="left" vertical="center" wrapText="1"/>
    </xf>
    <xf numFmtId="0" fontId="37" fillId="5" borderId="28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0" borderId="27" xfId="0" quotePrefix="1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center" vertical="center" wrapText="1"/>
    </xf>
    <xf numFmtId="0" fontId="1" fillId="0" borderId="33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43" fillId="0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0" borderId="25" xfId="0" quotePrefix="1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37" fillId="0" borderId="29" xfId="0" applyFont="1" applyFill="1" applyBorder="1" applyAlignment="1">
      <alignment horizontal="left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1" fillId="8" borderId="25" xfId="0" applyFont="1" applyFill="1" applyBorder="1" applyAlignment="1">
      <alignment horizontal="center" vertical="center" wrapText="1"/>
    </xf>
    <xf numFmtId="0" fontId="1" fillId="8" borderId="25" xfId="0" applyFont="1" applyFill="1" applyBorder="1" applyAlignment="1">
      <alignment horizontal="left" vertical="center" wrapText="1"/>
    </xf>
    <xf numFmtId="0" fontId="42" fillId="8" borderId="25" xfId="0" applyFont="1" applyFill="1" applyBorder="1" applyAlignment="1">
      <alignment horizontal="center" vertical="center" wrapText="1"/>
    </xf>
    <xf numFmtId="0" fontId="37" fillId="8" borderId="25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/>
    </xf>
    <xf numFmtId="0" fontId="1" fillId="0" borderId="34" xfId="0" applyFont="1" applyBorder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51" fillId="0" borderId="26" xfId="0" applyFont="1" applyBorder="1" applyAlignment="1">
      <alignment horizontal="center" wrapText="1"/>
    </xf>
    <xf numFmtId="0" fontId="37" fillId="4" borderId="13" xfId="0" applyFont="1" applyFill="1" applyBorder="1" applyAlignment="1">
      <alignment horizontal="left" vertical="center" wrapText="1"/>
    </xf>
    <xf numFmtId="0" fontId="1" fillId="4" borderId="28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vertical="top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10" borderId="13" xfId="0" applyFont="1" applyFill="1" applyBorder="1" applyAlignment="1">
      <alignment horizontal="center" vertical="center" wrapText="1"/>
    </xf>
    <xf numFmtId="0" fontId="7" fillId="4" borderId="27" xfId="0" applyFont="1" applyFill="1" applyBorder="1" applyAlignment="1">
      <alignment horizontal="center" vertical="center" wrapText="1"/>
    </xf>
    <xf numFmtId="0" fontId="1" fillId="2" borderId="13" xfId="0" quotePrefix="1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quotePrefix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left" vertical="center" wrapText="1"/>
    </xf>
    <xf numFmtId="0" fontId="37" fillId="2" borderId="28" xfId="0" applyFont="1" applyFill="1" applyBorder="1" applyAlignment="1">
      <alignment horizontal="left" vertical="center" wrapText="1"/>
    </xf>
    <xf numFmtId="14" fontId="1" fillId="2" borderId="25" xfId="0" applyNumberFormat="1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37" fillId="2" borderId="25" xfId="0" applyFont="1" applyFill="1" applyBorder="1" applyAlignment="1">
      <alignment horizontal="left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center" vertical="center" wrapText="1"/>
    </xf>
    <xf numFmtId="0" fontId="1" fillId="11" borderId="25" xfId="0" applyFont="1" applyFill="1" applyBorder="1" applyAlignment="1">
      <alignment horizontal="center" vertical="center" wrapText="1"/>
    </xf>
    <xf numFmtId="0" fontId="1" fillId="12" borderId="13" xfId="0" applyFont="1" applyFill="1" applyBorder="1" applyAlignment="1">
      <alignment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14" fontId="1" fillId="2" borderId="27" xfId="0" applyNumberFormat="1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left" vertical="center" wrapText="1"/>
    </xf>
    <xf numFmtId="0" fontId="1" fillId="2" borderId="27" xfId="0" quotePrefix="1" applyFont="1" applyFill="1" applyBorder="1" applyAlignment="1">
      <alignment horizontal="center" vertical="center" wrapText="1"/>
    </xf>
    <xf numFmtId="0" fontId="37" fillId="2" borderId="27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37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horizontal="left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left" vertical="center" wrapText="1"/>
    </xf>
    <xf numFmtId="0" fontId="37" fillId="2" borderId="26" xfId="0" applyFont="1" applyFill="1" applyBorder="1" applyAlignment="1">
      <alignment horizontal="left" vertical="center" wrapText="1"/>
    </xf>
    <xf numFmtId="0" fontId="1" fillId="2" borderId="25" xfId="0" applyFont="1" applyFill="1" applyBorder="1" applyAlignment="1">
      <alignment horizontal="left" vertical="center" wrapText="1"/>
    </xf>
    <xf numFmtId="14" fontId="1" fillId="2" borderId="0" xfId="0" applyNumberFormat="1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left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37" fillId="2" borderId="30" xfId="0" applyFont="1" applyFill="1" applyBorder="1" applyAlignment="1">
      <alignment horizontal="left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35" fillId="0" borderId="9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wrapText="1"/>
    </xf>
    <xf numFmtId="0" fontId="31" fillId="0" borderId="17" xfId="0" applyFont="1" applyBorder="1" applyAlignment="1">
      <alignment horizontal="center" wrapText="1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top"/>
    </xf>
    <xf numFmtId="0" fontId="33" fillId="0" borderId="1" xfId="0" applyFont="1" applyBorder="1" applyAlignment="1">
      <alignment horizontal="left" wrapText="1"/>
    </xf>
    <xf numFmtId="0" fontId="1" fillId="0" borderId="0" xfId="0" applyFont="1" applyBorder="1" applyAlignment="1">
      <alignment horizontal="left"/>
    </xf>
    <xf numFmtId="0" fontId="33" fillId="0" borderId="3" xfId="0" applyFont="1" applyBorder="1" applyAlignment="1">
      <alignment horizontal="left" wrapText="1"/>
    </xf>
    <xf numFmtId="0" fontId="2" fillId="0" borderId="0" xfId="0" applyFont="1" applyAlignment="1">
      <alignment horizontal="right" vertical="center" wrapText="1"/>
    </xf>
    <xf numFmtId="0" fontId="3" fillId="0" borderId="0" xfId="0" applyFont="1" applyBorder="1" applyAlignment="1">
      <alignment horizontal="left"/>
    </xf>
    <xf numFmtId="0" fontId="33" fillId="0" borderId="1" xfId="1" applyFont="1" applyBorder="1" applyAlignment="1">
      <alignment horizontal="left" wrapText="1"/>
    </xf>
    <xf numFmtId="0" fontId="33" fillId="0" borderId="0" xfId="0" applyFont="1" applyBorder="1" applyAlignment="1">
      <alignment horizontal="left"/>
    </xf>
    <xf numFmtId="0" fontId="6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14" fontId="7" fillId="0" borderId="1" xfId="0" applyNumberFormat="1" applyFont="1" applyFill="1" applyBorder="1" applyAlignment="1">
      <alignment horizontal="center"/>
    </xf>
    <xf numFmtId="14" fontId="8" fillId="0" borderId="1" xfId="0" applyNumberFormat="1" applyFont="1" applyFill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center" vertical="top"/>
    </xf>
    <xf numFmtId="0" fontId="34" fillId="0" borderId="1" xfId="0" applyNumberFormat="1" applyFont="1" applyBorder="1" applyAlignment="1">
      <alignment horizontal="left" wrapText="1"/>
    </xf>
    <xf numFmtId="0" fontId="33" fillId="0" borderId="1" xfId="0" applyNumberFormat="1" applyFont="1" applyBorder="1" applyAlignment="1">
      <alignment horizontal="left" wrapText="1"/>
    </xf>
    <xf numFmtId="0" fontId="34" fillId="0" borderId="1" xfId="0" applyFont="1" applyBorder="1" applyAlignment="1">
      <alignment horizontal="left" wrapText="1"/>
    </xf>
    <xf numFmtId="0" fontId="40" fillId="0" borderId="3" xfId="0" applyFont="1" applyBorder="1" applyAlignment="1">
      <alignment horizontal="left" wrapText="1"/>
    </xf>
    <xf numFmtId="0" fontId="13" fillId="0" borderId="0" xfId="0" applyFont="1" applyBorder="1" applyAlignment="1">
      <alignment horizontal="left" wrapText="1"/>
    </xf>
    <xf numFmtId="0" fontId="13" fillId="0" borderId="0" xfId="0" applyFont="1" applyBorder="1" applyAlignment="1">
      <alignment horizontal="left"/>
    </xf>
    <xf numFmtId="0" fontId="40" fillId="0" borderId="1" xfId="0" applyFont="1" applyBorder="1" applyAlignment="1">
      <alignment horizontal="left"/>
    </xf>
    <xf numFmtId="0" fontId="30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34" fillId="0" borderId="1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34" fillId="2" borderId="0" xfId="0" applyFont="1" applyFill="1" applyAlignment="1">
      <alignment horizontal="left" vertical="top" wrapText="1"/>
    </xf>
    <xf numFmtId="0" fontId="1" fillId="0" borderId="0" xfId="0" applyFont="1" applyBorder="1" applyAlignment="1">
      <alignment horizontal="left" vertical="center"/>
    </xf>
    <xf numFmtId="0" fontId="34" fillId="0" borderId="0" xfId="0" applyFont="1" applyBorder="1" applyAlignment="1">
      <alignment horizontal="left" wrapText="1"/>
    </xf>
    <xf numFmtId="0" fontId="39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right" vertical="top"/>
    </xf>
    <xf numFmtId="0" fontId="6" fillId="0" borderId="2" xfId="0" applyFont="1" applyBorder="1" applyAlignment="1">
      <alignment horizontal="right" vertical="top"/>
    </xf>
    <xf numFmtId="0" fontId="33" fillId="0" borderId="1" xfId="0" applyFont="1" applyFill="1" applyBorder="1" applyAlignment="1">
      <alignment horizontal="left"/>
    </xf>
    <xf numFmtId="0" fontId="6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14" fontId="40" fillId="0" borderId="1" xfId="0" applyNumberFormat="1" applyFont="1" applyFill="1" applyBorder="1" applyAlignment="1">
      <alignment horizontal="center"/>
    </xf>
    <xf numFmtId="14" fontId="40" fillId="0" borderId="3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top"/>
    </xf>
    <xf numFmtId="0" fontId="34" fillId="0" borderId="0" xfId="0" quotePrefix="1" applyFont="1" applyFill="1" applyBorder="1" applyAlignment="1">
      <alignment horizontal="left" vertical="top" wrapText="1"/>
    </xf>
    <xf numFmtId="0" fontId="34" fillId="0" borderId="0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34" fillId="0" borderId="1" xfId="0" quotePrefix="1" applyFont="1" applyBorder="1" applyAlignment="1">
      <alignment horizontal="center"/>
    </xf>
    <xf numFmtId="14" fontId="33" fillId="0" borderId="1" xfId="0" applyNumberFormat="1" applyFont="1" applyBorder="1" applyAlignment="1">
      <alignment horizontal="left" vertical="top"/>
    </xf>
    <xf numFmtId="0" fontId="49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0" fontId="48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4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8" fillId="0" borderId="0" xfId="2" applyFont="1" applyFill="1" applyAlignment="1">
      <alignment horizontal="center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7" fillId="0" borderId="0" xfId="2" applyFont="1" applyFill="1" applyAlignment="1">
      <alignment horizontal="center"/>
    </xf>
    <xf numFmtId="0" fontId="30" fillId="2" borderId="1" xfId="2" applyFont="1" applyFill="1" applyBorder="1" applyAlignment="1">
      <alignment horizontal="center" wrapText="1"/>
    </xf>
    <xf numFmtId="0" fontId="9" fillId="0" borderId="2" xfId="2" applyFont="1" applyFill="1" applyBorder="1" applyAlignment="1">
      <alignment horizontal="center" vertical="top"/>
    </xf>
    <xf numFmtId="0" fontId="30" fillId="0" borderId="1" xfId="2" applyFont="1" applyFill="1" applyBorder="1" applyAlignment="1">
      <alignment horizontal="center"/>
    </xf>
    <xf numFmtId="0" fontId="30" fillId="2" borderId="1" xfId="2" applyFont="1" applyFill="1" applyBorder="1" applyAlignment="1">
      <alignment horizontal="left"/>
    </xf>
    <xf numFmtId="0" fontId="30" fillId="0" borderId="1" xfId="2" applyFont="1" applyFill="1" applyBorder="1" applyAlignment="1">
      <alignment horizontal="center" wrapText="1"/>
    </xf>
    <xf numFmtId="0" fontId="30" fillId="2" borderId="1" xfId="2" applyFont="1" applyFill="1" applyBorder="1" applyAlignment="1">
      <alignment horizontal="left" wrapText="1"/>
    </xf>
    <xf numFmtId="0" fontId="11" fillId="2" borderId="1" xfId="2" applyFont="1" applyFill="1" applyBorder="1" applyAlignment="1">
      <alignment horizontal="center" wrapText="1"/>
    </xf>
    <xf numFmtId="0" fontId="13" fillId="0" borderId="0" xfId="2" applyFont="1" applyFill="1" applyAlignment="1">
      <alignment horizontal="left" vertical="center" wrapText="1"/>
    </xf>
    <xf numFmtId="0" fontId="30" fillId="0" borderId="3" xfId="2" applyFont="1" applyFill="1" applyBorder="1" applyAlignment="1">
      <alignment horizontal="center" wrapText="1"/>
    </xf>
    <xf numFmtId="14" fontId="30" fillId="0" borderId="1" xfId="2" applyNumberFormat="1" applyFont="1" applyFill="1" applyBorder="1" applyAlignment="1">
      <alignment horizontal="right"/>
    </xf>
    <xf numFmtId="0" fontId="9" fillId="0" borderId="0" xfId="2" applyFont="1" applyFill="1" applyBorder="1" applyAlignment="1">
      <alignment horizontal="center" vertical="top"/>
    </xf>
    <xf numFmtId="0" fontId="11" fillId="0" borderId="1" xfId="2" applyFont="1" applyFill="1" applyBorder="1" applyAlignment="1">
      <alignment horizontal="center"/>
    </xf>
    <xf numFmtId="164" fontId="30" fillId="0" borderId="1" xfId="2" applyNumberFormat="1" applyFont="1" applyFill="1" applyBorder="1" applyAlignment="1">
      <alignment horizontal="center" wrapText="1"/>
    </xf>
    <xf numFmtId="0" fontId="47" fillId="4" borderId="33" xfId="0" applyFont="1" applyFill="1" applyBorder="1" applyAlignment="1">
      <alignment horizontal="left" vertical="top"/>
    </xf>
    <xf numFmtId="0" fontId="47" fillId="4" borderId="3" xfId="0" applyFont="1" applyFill="1" applyBorder="1" applyAlignment="1">
      <alignment horizontal="left" vertical="top"/>
    </xf>
    <xf numFmtId="0" fontId="47" fillId="4" borderId="28" xfId="0" applyFont="1" applyFill="1" applyBorder="1" applyAlignment="1">
      <alignment horizontal="left" vertical="top"/>
    </xf>
    <xf numFmtId="0" fontId="1" fillId="5" borderId="3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50" fillId="4" borderId="33" xfId="0" applyFont="1" applyFill="1" applyBorder="1" applyAlignment="1">
      <alignment horizontal="left" vertical="top"/>
    </xf>
    <xf numFmtId="0" fontId="50" fillId="4" borderId="3" xfId="0" applyFont="1" applyFill="1" applyBorder="1" applyAlignment="1">
      <alignment horizontal="left" vertical="top"/>
    </xf>
    <xf numFmtId="0" fontId="50" fillId="4" borderId="28" xfId="0" applyFont="1" applyFill="1" applyBorder="1" applyAlignment="1">
      <alignment horizontal="left" vertical="top"/>
    </xf>
    <xf numFmtId="0" fontId="47" fillId="4" borderId="33" xfId="0" applyFont="1" applyFill="1" applyBorder="1" applyAlignment="1">
      <alignment horizontal="left" vertical="top" wrapText="1"/>
    </xf>
    <xf numFmtId="0" fontId="47" fillId="4" borderId="3" xfId="0" applyFont="1" applyFill="1" applyBorder="1" applyAlignment="1">
      <alignment horizontal="left" vertical="top" wrapText="1"/>
    </xf>
    <xf numFmtId="0" fontId="47" fillId="4" borderId="28" xfId="0" applyFont="1" applyFill="1" applyBorder="1" applyAlignment="1">
      <alignment horizontal="left" vertical="top" wrapText="1"/>
    </xf>
    <xf numFmtId="0" fontId="50" fillId="4" borderId="33" xfId="0" applyFont="1" applyFill="1" applyBorder="1" applyAlignment="1">
      <alignment horizontal="left" vertical="center"/>
    </xf>
    <xf numFmtId="0" fontId="50" fillId="4" borderId="3" xfId="0" applyFont="1" applyFill="1" applyBorder="1" applyAlignment="1">
      <alignment horizontal="left" vertical="center"/>
    </xf>
    <xf numFmtId="0" fontId="50" fillId="4" borderId="28" xfId="0" applyFont="1" applyFill="1" applyBorder="1" applyAlignment="1">
      <alignment horizontal="left" vertical="center"/>
    </xf>
    <xf numFmtId="0" fontId="50" fillId="4" borderId="35" xfId="0" applyFont="1" applyFill="1" applyBorder="1" applyAlignment="1">
      <alignment horizontal="left" vertical="top" wrapText="1"/>
    </xf>
    <xf numFmtId="0" fontId="50" fillId="4" borderId="2" xfId="0" applyFont="1" applyFill="1" applyBorder="1" applyAlignment="1">
      <alignment horizontal="left" vertical="top" wrapText="1"/>
    </xf>
    <xf numFmtId="0" fontId="50" fillId="4" borderId="30" xfId="0" applyFont="1" applyFill="1" applyBorder="1" applyAlignment="1">
      <alignment horizontal="left" vertical="top" wrapText="1"/>
    </xf>
    <xf numFmtId="0" fontId="1" fillId="5" borderId="27" xfId="0" applyFont="1" applyFill="1" applyBorder="1" applyAlignment="1">
      <alignment horizontal="center" vertical="center" wrapText="1"/>
    </xf>
    <xf numFmtId="0" fontId="37" fillId="2" borderId="29" xfId="0" applyFont="1" applyFill="1" applyBorder="1" applyAlignment="1">
      <alignment horizontal="left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52" fillId="0" borderId="0" xfId="0" applyFont="1"/>
    <xf numFmtId="0" fontId="22" fillId="0" borderId="2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</cellXfs>
  <cellStyles count="3">
    <cellStyle name="Обычный" xfId="0" builtinId="0"/>
    <cellStyle name="Обычный 5 2" xfId="1" xr:uid="{00000000-0005-0000-0000-000001000000}"/>
    <cellStyle name="Обычный 9" xfId="2" xr:uid="{00000000-0005-0000-0000-000002000000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FFF"/>
      <color rgb="FFFFB3FF"/>
      <color rgb="FFFFC5E2"/>
      <color rgb="FFFFA7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947737</xdr:colOff>
      <xdr:row>0</xdr:row>
      <xdr:rowOff>26195</xdr:rowOff>
    </xdr:from>
    <xdr:to>
      <xdr:col>7</xdr:col>
      <xdr:colOff>1147762</xdr:colOff>
      <xdr:row>0</xdr:row>
      <xdr:rowOff>288132</xdr:rowOff>
    </xdr:to>
    <xdr:sp macro="[0]!PrintAc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05912" y="26195"/>
          <a:ext cx="2286000" cy="26193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Печать</a:t>
          </a:r>
        </a:p>
      </xdr:txBody>
    </xdr:sp>
    <xdr:clientData/>
  </xdr:twoCellAnchor>
  <xdr:twoCellAnchor>
    <xdr:from>
      <xdr:col>7</xdr:col>
      <xdr:colOff>1245392</xdr:colOff>
      <xdr:row>0</xdr:row>
      <xdr:rowOff>23813</xdr:rowOff>
    </xdr:from>
    <xdr:to>
      <xdr:col>9</xdr:col>
      <xdr:colOff>319085</xdr:colOff>
      <xdr:row>0</xdr:row>
      <xdr:rowOff>285750</xdr:rowOff>
    </xdr:to>
    <xdr:sp macro="[0]!SaveAct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589542" y="23813"/>
          <a:ext cx="2283618" cy="26193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в файл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1809749</xdr:colOff>
      <xdr:row>0</xdr:row>
      <xdr:rowOff>325755</xdr:rowOff>
    </xdr:from>
    <xdr:to>
      <xdr:col>12</xdr:col>
      <xdr:colOff>541019</xdr:colOff>
      <xdr:row>0</xdr:row>
      <xdr:rowOff>821055</xdr:rowOff>
    </xdr:to>
    <xdr:sp macro="" textlink="">
      <xdr:nvSpPr>
        <xdr:cNvPr id="2" name="Стрелка вправо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0800000">
          <a:off x="8058149" y="323850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19</xdr:col>
      <xdr:colOff>513600</xdr:colOff>
      <xdr:row>8</xdr:row>
      <xdr:rowOff>159863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548640"/>
          <a:ext cx="6000000" cy="12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17</xdr:col>
      <xdr:colOff>104229</xdr:colOff>
      <xdr:row>23</xdr:row>
      <xdr:rowOff>54987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36180" y="2377440"/>
          <a:ext cx="4371429" cy="20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142461</xdr:colOff>
      <xdr:row>1</xdr:row>
      <xdr:rowOff>123825</xdr:rowOff>
    </xdr:from>
    <xdr:to>
      <xdr:col>15</xdr:col>
      <xdr:colOff>272912</xdr:colOff>
      <xdr:row>3</xdr:row>
      <xdr:rowOff>228600</xdr:rowOff>
    </xdr:to>
    <xdr:sp macro="" textlink="">
      <xdr:nvSpPr>
        <xdr:cNvPr id="3" name="Стрелка вправо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0800000">
          <a:off x="8591550" y="314325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947737</xdr:colOff>
      <xdr:row>0</xdr:row>
      <xdr:rowOff>26195</xdr:rowOff>
    </xdr:from>
    <xdr:to>
      <xdr:col>7</xdr:col>
      <xdr:colOff>1147762</xdr:colOff>
      <xdr:row>0</xdr:row>
      <xdr:rowOff>288132</xdr:rowOff>
    </xdr:to>
    <xdr:sp macro="[0]!PrintAc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44037" y="26195"/>
          <a:ext cx="2348865" cy="26193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Печать</a:t>
          </a:r>
        </a:p>
      </xdr:txBody>
    </xdr:sp>
    <xdr:clientData/>
  </xdr:twoCellAnchor>
  <xdr:twoCellAnchor>
    <xdr:from>
      <xdr:col>7</xdr:col>
      <xdr:colOff>1245392</xdr:colOff>
      <xdr:row>0</xdr:row>
      <xdr:rowOff>23813</xdr:rowOff>
    </xdr:from>
    <xdr:to>
      <xdr:col>9</xdr:col>
      <xdr:colOff>319085</xdr:colOff>
      <xdr:row>0</xdr:row>
      <xdr:rowOff>285750</xdr:rowOff>
    </xdr:to>
    <xdr:sp macro="[0]!SaveAct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1890532" y="23813"/>
          <a:ext cx="2380773" cy="26193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в файл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94"/>
  <sheetViews>
    <sheetView showGridLines="0" workbookViewId="0">
      <selection activeCell="B21" sqref="B21"/>
    </sheetView>
  </sheetViews>
  <sheetFormatPr defaultColWidth="9.140625" defaultRowHeight="15" x14ac:dyDescent="0.25"/>
  <cols>
    <col min="1" max="1" width="26.7109375" style="15" customWidth="1"/>
    <col min="2" max="2" width="113.85546875" style="15" customWidth="1"/>
    <col min="3" max="3" width="19.28515625" style="15" customWidth="1"/>
    <col min="4" max="16384" width="9.140625" style="15"/>
  </cols>
  <sheetData>
    <row r="1" spans="1:3" ht="15.75" thickBot="1" x14ac:dyDescent="0.3">
      <c r="A1" s="75" t="s">
        <v>81</v>
      </c>
      <c r="B1" s="76" t="s">
        <v>80</v>
      </c>
      <c r="C1" s="75" t="s">
        <v>79</v>
      </c>
    </row>
    <row r="2" spans="1:3" ht="45.75" thickBot="1" x14ac:dyDescent="0.3">
      <c r="A2" s="317" t="s">
        <v>60</v>
      </c>
      <c r="B2" s="64" t="s">
        <v>1392</v>
      </c>
      <c r="C2" s="68"/>
    </row>
    <row r="3" spans="1:3" x14ac:dyDescent="0.25">
      <c r="A3" s="328" t="s">
        <v>61</v>
      </c>
      <c r="B3" s="65" t="s">
        <v>1393</v>
      </c>
      <c r="C3" s="69"/>
    </row>
    <row r="4" spans="1:3" ht="15.75" thickBot="1" x14ac:dyDescent="0.3">
      <c r="A4" s="329"/>
      <c r="B4" s="66" t="s">
        <v>1394</v>
      </c>
      <c r="C4" s="69"/>
    </row>
    <row r="5" spans="1:3" x14ac:dyDescent="0.25">
      <c r="A5" s="328" t="s">
        <v>62</v>
      </c>
      <c r="B5" s="65" t="s">
        <v>1395</v>
      </c>
      <c r="C5" s="69"/>
    </row>
    <row r="6" spans="1:3" x14ac:dyDescent="0.25">
      <c r="A6" s="330"/>
      <c r="B6" s="67" t="s">
        <v>1396</v>
      </c>
      <c r="C6" s="69"/>
    </row>
    <row r="7" spans="1:3" ht="15.75" thickBot="1" x14ac:dyDescent="0.3">
      <c r="A7" s="329"/>
      <c r="B7" s="67" t="s">
        <v>1397</v>
      </c>
      <c r="C7" s="69"/>
    </row>
    <row r="8" spans="1:3" x14ac:dyDescent="0.25">
      <c r="A8" s="328" t="s">
        <v>63</v>
      </c>
      <c r="B8" s="71" t="s">
        <v>1398</v>
      </c>
      <c r="C8" s="69"/>
    </row>
    <row r="9" spans="1:3" x14ac:dyDescent="0.25">
      <c r="A9" s="330"/>
      <c r="B9" s="437" t="s">
        <v>1399</v>
      </c>
      <c r="C9" s="69"/>
    </row>
    <row r="10" spans="1:3" ht="15.75" thickBot="1" x14ac:dyDescent="0.3">
      <c r="A10" s="329"/>
      <c r="B10" s="73" t="s">
        <v>1400</v>
      </c>
      <c r="C10" s="69"/>
    </row>
    <row r="11" spans="1:3" x14ac:dyDescent="0.25">
      <c r="A11" s="324" t="s">
        <v>61</v>
      </c>
      <c r="B11" s="274" t="s">
        <v>1401</v>
      </c>
      <c r="C11" s="70" t="s">
        <v>1402</v>
      </c>
    </row>
    <row r="12" spans="1:3" ht="15.75" thickBot="1" x14ac:dyDescent="0.3">
      <c r="A12" s="331"/>
      <c r="B12" s="89" t="s">
        <v>1403</v>
      </c>
      <c r="C12" s="87"/>
    </row>
    <row r="13" spans="1:3" ht="15.75" thickBot="1" x14ac:dyDescent="0.3">
      <c r="A13" s="325"/>
      <c r="B13" s="90"/>
      <c r="C13" s="70"/>
    </row>
    <row r="14" spans="1:3" x14ac:dyDescent="0.25">
      <c r="A14" s="324" t="s">
        <v>137</v>
      </c>
      <c r="B14" s="274" t="s">
        <v>1440</v>
      </c>
      <c r="C14" s="70" t="s">
        <v>1404</v>
      </c>
    </row>
    <row r="15" spans="1:3" ht="17.25" customHeight="1" thickBot="1" x14ac:dyDescent="0.3">
      <c r="A15" s="325"/>
      <c r="B15" s="77"/>
      <c r="C15" s="81"/>
    </row>
    <row r="16" spans="1:3" ht="15" customHeight="1" x14ac:dyDescent="0.25">
      <c r="A16" s="321" t="s">
        <v>72</v>
      </c>
      <c r="B16" s="438" t="s">
        <v>1405</v>
      </c>
      <c r="C16" s="87" t="s">
        <v>1406</v>
      </c>
    </row>
    <row r="17" spans="1:6" x14ac:dyDescent="0.25">
      <c r="A17" s="322"/>
      <c r="B17" s="439" t="s">
        <v>1407</v>
      </c>
      <c r="C17" s="70"/>
    </row>
    <row r="18" spans="1:6" x14ac:dyDescent="0.25">
      <c r="A18" s="322"/>
      <c r="B18" s="94" t="s">
        <v>132</v>
      </c>
      <c r="C18" s="70"/>
    </row>
    <row r="19" spans="1:6" ht="15.75" thickBot="1" x14ac:dyDescent="0.3">
      <c r="A19" s="323"/>
      <c r="B19" s="93"/>
      <c r="C19" s="70"/>
    </row>
    <row r="20" spans="1:6" x14ac:dyDescent="0.25">
      <c r="A20" s="326" t="s">
        <v>8</v>
      </c>
      <c r="B20" s="71"/>
      <c r="C20" s="71"/>
    </row>
    <row r="21" spans="1:6" ht="15.75" thickBot="1" x14ac:dyDescent="0.3">
      <c r="A21" s="327"/>
      <c r="B21" s="73"/>
      <c r="C21" s="70"/>
    </row>
    <row r="22" spans="1:6" x14ac:dyDescent="0.25">
      <c r="A22" s="326" t="s">
        <v>138</v>
      </c>
      <c r="B22" s="274" t="s">
        <v>1408</v>
      </c>
      <c r="C22" s="70" t="s">
        <v>1409</v>
      </c>
    </row>
    <row r="23" spans="1:6" ht="43.5" customHeight="1" thickBot="1" x14ac:dyDescent="0.3">
      <c r="A23" s="327"/>
      <c r="B23" s="77"/>
      <c r="C23" s="81"/>
    </row>
    <row r="24" spans="1:6" x14ac:dyDescent="0.25">
      <c r="A24" s="324" t="s">
        <v>73</v>
      </c>
      <c r="B24" s="274"/>
      <c r="C24" s="70"/>
    </row>
    <row r="25" spans="1:6" ht="15.75" thickBot="1" x14ac:dyDescent="0.3">
      <c r="A25" s="325"/>
      <c r="B25" s="72"/>
      <c r="C25" s="70"/>
    </row>
    <row r="26" spans="1:6" x14ac:dyDescent="0.25">
      <c r="A26" s="324" t="s">
        <v>71</v>
      </c>
      <c r="B26" s="88"/>
      <c r="C26" s="87"/>
    </row>
    <row r="27" spans="1:6" ht="15.75" thickBot="1" x14ac:dyDescent="0.3">
      <c r="A27" s="325"/>
      <c r="B27" s="89"/>
      <c r="C27" s="70"/>
      <c r="F27" s="15" t="s">
        <v>132</v>
      </c>
    </row>
    <row r="28" spans="1:6" x14ac:dyDescent="0.25">
      <c r="A28" s="324" t="s">
        <v>74</v>
      </c>
      <c r="B28" s="274" t="s">
        <v>1410</v>
      </c>
      <c r="C28" s="87" t="s">
        <v>1411</v>
      </c>
    </row>
    <row r="29" spans="1:6" ht="15.75" thickBot="1" x14ac:dyDescent="0.3">
      <c r="A29" s="325"/>
      <c r="B29" s="72" t="s">
        <v>1412</v>
      </c>
      <c r="C29" s="70"/>
    </row>
    <row r="30" spans="1:6" ht="15.75" thickBot="1" x14ac:dyDescent="0.3">
      <c r="A30" s="74" t="s">
        <v>75</v>
      </c>
      <c r="B30" s="64" t="s">
        <v>1413</v>
      </c>
      <c r="C30" s="17"/>
    </row>
    <row r="32" spans="1:6" ht="15.75" thickBot="1" x14ac:dyDescent="0.3"/>
    <row r="33" spans="1:3" ht="15.75" thickBot="1" x14ac:dyDescent="0.3">
      <c r="B33" s="99" t="s">
        <v>145</v>
      </c>
    </row>
    <row r="35" spans="1:3" x14ac:dyDescent="0.25">
      <c r="A35" s="104" t="s">
        <v>71</v>
      </c>
      <c r="B35" s="100" t="s">
        <v>1414</v>
      </c>
      <c r="C35" s="101" t="s">
        <v>143</v>
      </c>
    </row>
    <row r="36" spans="1:3" x14ac:dyDescent="0.25">
      <c r="A36" s="104" t="s">
        <v>146</v>
      </c>
      <c r="B36" s="100" t="s">
        <v>186</v>
      </c>
      <c r="C36" s="101" t="s">
        <v>187</v>
      </c>
    </row>
    <row r="37" spans="1:3" x14ac:dyDescent="0.25">
      <c r="A37" s="105" t="s">
        <v>147</v>
      </c>
      <c r="B37" s="102" t="s">
        <v>149</v>
      </c>
      <c r="C37" s="103" t="s">
        <v>139</v>
      </c>
    </row>
    <row r="94" spans="1:1" x14ac:dyDescent="0.25">
      <c r="A94" s="78">
        <v>7</v>
      </c>
    </row>
  </sheetData>
  <mergeCells count="11">
    <mergeCell ref="A3:A4"/>
    <mergeCell ref="A5:A7"/>
    <mergeCell ref="A8:A10"/>
    <mergeCell ref="A11:A13"/>
    <mergeCell ref="A14:A15"/>
    <mergeCell ref="A16:A19"/>
    <mergeCell ref="A28:A29"/>
    <mergeCell ref="A26:A27"/>
    <mergeCell ref="A24:A25"/>
    <mergeCell ref="A20:A21"/>
    <mergeCell ref="A22:A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S89"/>
  <sheetViews>
    <sheetView showGridLines="0" zoomScale="55" zoomScaleNormal="55" workbookViewId="0">
      <pane ySplit="2" topLeftCell="A3" activePane="bottomLeft" state="frozen"/>
      <selection pane="bottomLeft" activeCell="A3" sqref="A3:XFD3"/>
    </sheetView>
  </sheetViews>
  <sheetFormatPr defaultColWidth="9.140625" defaultRowHeight="15" x14ac:dyDescent="0.25"/>
  <cols>
    <col min="1" max="1" width="17.140625" style="82" customWidth="1"/>
    <col min="2" max="2" width="15.5703125" style="82" customWidth="1"/>
    <col min="3" max="3" width="14.85546875" style="82" customWidth="1"/>
    <col min="4" max="4" width="17.42578125" style="82" customWidth="1"/>
    <col min="5" max="5" width="45.28515625" style="82" customWidth="1"/>
    <col min="6" max="6" width="18.5703125" style="82" customWidth="1"/>
    <col min="7" max="7" width="46.28515625" style="82" customWidth="1"/>
    <col min="8" max="8" width="25.28515625" style="82" customWidth="1"/>
    <col min="9" max="9" width="28" style="82" customWidth="1"/>
    <col min="10" max="10" width="31.140625" style="82" customWidth="1"/>
    <col min="11" max="11" width="17.28515625" style="82" customWidth="1"/>
    <col min="12" max="13" width="18.7109375" style="132" customWidth="1"/>
    <col min="14" max="14" width="22" style="132" customWidth="1"/>
    <col min="15" max="15" width="12.28515625" style="132" customWidth="1"/>
    <col min="16" max="16" width="21.28515625" style="132" customWidth="1"/>
    <col min="17" max="17" width="14" style="132" customWidth="1"/>
    <col min="18" max="19" width="20.7109375" style="132" customWidth="1"/>
    <col min="20" max="16384" width="9.140625" style="14"/>
  </cols>
  <sheetData>
    <row r="1" spans="1:19" ht="32.450000000000003" customHeight="1" thickBot="1" x14ac:dyDescent="0.3"/>
    <row r="2" spans="1:19" ht="30" x14ac:dyDescent="0.25">
      <c r="A2" s="96" t="s">
        <v>53</v>
      </c>
      <c r="B2" s="96" t="s">
        <v>54</v>
      </c>
      <c r="C2" s="96" t="s">
        <v>55</v>
      </c>
      <c r="D2" s="96" t="s">
        <v>67</v>
      </c>
      <c r="E2" s="96" t="s">
        <v>56</v>
      </c>
      <c r="F2" s="96" t="s">
        <v>70</v>
      </c>
      <c r="G2" s="96" t="s">
        <v>57</v>
      </c>
      <c r="H2" s="96" t="s">
        <v>58</v>
      </c>
      <c r="I2" s="96" t="s">
        <v>59</v>
      </c>
      <c r="J2" s="96" t="s">
        <v>69</v>
      </c>
      <c r="K2" s="82" t="s">
        <v>185</v>
      </c>
      <c r="L2" s="147" t="s">
        <v>83</v>
      </c>
      <c r="M2" s="133" t="s">
        <v>135</v>
      </c>
      <c r="N2" s="133" t="s">
        <v>82</v>
      </c>
      <c r="O2" s="133" t="s">
        <v>64</v>
      </c>
      <c r="P2" s="133" t="s">
        <v>66</v>
      </c>
      <c r="Q2" s="133" t="s">
        <v>65</v>
      </c>
      <c r="R2" s="134" t="s">
        <v>136</v>
      </c>
      <c r="S2" s="134" t="s">
        <v>142</v>
      </c>
    </row>
    <row r="3" spans="1:19" s="114" customFormat="1" ht="60" x14ac:dyDescent="0.25">
      <c r="A3" s="320" t="s">
        <v>1415</v>
      </c>
      <c r="B3" s="240">
        <v>45279</v>
      </c>
      <c r="C3" s="240">
        <v>45281</v>
      </c>
      <c r="D3" s="320" t="s">
        <v>1416</v>
      </c>
      <c r="E3" s="287" t="s">
        <v>1417</v>
      </c>
      <c r="F3" s="320" t="s">
        <v>1418</v>
      </c>
      <c r="G3" s="286" t="s">
        <v>1419</v>
      </c>
      <c r="H3" s="320" t="s">
        <v>1420</v>
      </c>
      <c r="I3" s="319" t="str">
        <f>CONCATENATE("Приложение"," ","№", A3, ",", " ",G3)</f>
        <v>Приложение №1.1-ИС, (Рама под аппаратуру) Паспорт №Б/н, АОРПИ №1.1-ИС</v>
      </c>
      <c r="J3" s="310" t="s">
        <v>1421</v>
      </c>
      <c r="K3" s="288"/>
      <c r="L3" s="296"/>
      <c r="M3" s="206"/>
      <c r="N3" s="319"/>
      <c r="O3" s="319"/>
      <c r="P3" s="319"/>
      <c r="Q3" s="319"/>
      <c r="R3" s="319"/>
      <c r="S3" s="319"/>
    </row>
    <row r="4" spans="1:19" s="114" customFormat="1" ht="95.45" customHeight="1" x14ac:dyDescent="0.25">
      <c r="A4" s="320" t="s">
        <v>1422</v>
      </c>
      <c r="B4" s="240">
        <v>45281</v>
      </c>
      <c r="C4" s="240">
        <v>45284</v>
      </c>
      <c r="D4" s="320" t="s">
        <v>1416</v>
      </c>
      <c r="E4" s="320" t="s">
        <v>1423</v>
      </c>
      <c r="F4" s="320" t="s">
        <v>1424</v>
      </c>
      <c r="G4" s="286" t="s">
        <v>1425</v>
      </c>
      <c r="H4" s="320" t="s">
        <v>1420</v>
      </c>
      <c r="I4" s="320" t="str">
        <f t="shared" ref="I4:I7" si="0">CONCATENATE("Приложение"," ","№", A4, ",", " ",G4)</f>
        <v>Приложение №1.2-ИС, (Кабинеты) Паспорт №Б/н, АОРПИ №1.1-ИС</v>
      </c>
      <c r="J4" s="310" t="s">
        <v>1421</v>
      </c>
      <c r="K4" s="288"/>
      <c r="L4" s="296"/>
      <c r="M4" s="206"/>
      <c r="N4" s="319"/>
      <c r="O4" s="319"/>
      <c r="P4" s="319"/>
      <c r="Q4" s="319"/>
      <c r="R4" s="319"/>
      <c r="S4" s="319"/>
    </row>
    <row r="5" spans="1:19" s="114" customFormat="1" ht="60" x14ac:dyDescent="0.25">
      <c r="A5" s="319" t="s">
        <v>1426</v>
      </c>
      <c r="B5" s="206">
        <v>45261</v>
      </c>
      <c r="C5" s="206">
        <v>45266</v>
      </c>
      <c r="D5" s="319" t="s">
        <v>1416</v>
      </c>
      <c r="E5" s="304" t="s">
        <v>1427</v>
      </c>
      <c r="F5" s="319" t="s">
        <v>1428</v>
      </c>
      <c r="G5" s="286" t="s">
        <v>1429</v>
      </c>
      <c r="H5" s="320" t="s">
        <v>1430</v>
      </c>
      <c r="I5" s="320" t="str">
        <f t="shared" si="0"/>
        <v>Приложение №1.1-МЛ, Лоток перфорированный 150х100 L3000 35342 АОРПИ №МЛ1</v>
      </c>
      <c r="J5" s="310" t="s">
        <v>1421</v>
      </c>
      <c r="K5" s="288"/>
      <c r="L5" s="296"/>
      <c r="M5" s="206"/>
      <c r="N5" s="319"/>
      <c r="O5" s="319"/>
      <c r="P5" s="319"/>
      <c r="Q5" s="319"/>
      <c r="R5" s="319"/>
      <c r="S5" s="319"/>
    </row>
    <row r="6" spans="1:19" s="114" customFormat="1" ht="135" x14ac:dyDescent="0.25">
      <c r="A6" s="318" t="s">
        <v>1431</v>
      </c>
      <c r="B6" s="206">
        <v>45261</v>
      </c>
      <c r="C6" s="206">
        <v>45266</v>
      </c>
      <c r="D6" s="318" t="s">
        <v>1432</v>
      </c>
      <c r="E6" s="311" t="s">
        <v>1433</v>
      </c>
      <c r="F6" s="318" t="s">
        <v>1434</v>
      </c>
      <c r="G6" s="319" t="s">
        <v>1435</v>
      </c>
      <c r="H6" s="320" t="s">
        <v>1430</v>
      </c>
      <c r="I6" s="320" t="str">
        <f t="shared" si="0"/>
        <v>Приложение №1.1-ПК, 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v>
      </c>
      <c r="J6" s="310" t="s">
        <v>1421</v>
      </c>
      <c r="K6" s="288"/>
      <c r="L6" s="296"/>
      <c r="M6" s="206"/>
      <c r="N6" s="319"/>
      <c r="O6" s="319"/>
      <c r="P6" s="319"/>
      <c r="Q6" s="319"/>
      <c r="R6" s="319"/>
      <c r="S6" s="319"/>
    </row>
    <row r="7" spans="1:19" s="114" customFormat="1" ht="75" x14ac:dyDescent="0.25">
      <c r="A7" s="320" t="s">
        <v>1436</v>
      </c>
      <c r="B7" s="240">
        <v>45274</v>
      </c>
      <c r="C7" s="240">
        <v>45275</v>
      </c>
      <c r="D7" s="320" t="s">
        <v>1437</v>
      </c>
      <c r="E7" s="287" t="s">
        <v>1438</v>
      </c>
      <c r="F7" s="320"/>
      <c r="G7" s="318" t="s">
        <v>1439</v>
      </c>
      <c r="H7" s="320" t="s">
        <v>1430</v>
      </c>
      <c r="I7" s="320" t="str">
        <f t="shared" si="0"/>
        <v>Приложение №1.1-ПГ, Двухполосный потолочный корпусной громкоговоритель, 5" + 1", 40 Вт  АОРПИ №ПГ1</v>
      </c>
      <c r="J7" s="310" t="s">
        <v>1421</v>
      </c>
      <c r="K7" s="288"/>
      <c r="L7" s="296"/>
      <c r="M7" s="206"/>
      <c r="N7" s="319"/>
      <c r="O7" s="319"/>
      <c r="P7" s="319"/>
      <c r="Q7" s="319"/>
      <c r="R7" s="319"/>
      <c r="S7" s="319"/>
    </row>
    <row r="8" spans="1:19" s="114" customFormat="1" x14ac:dyDescent="0.25">
      <c r="A8" s="320"/>
      <c r="B8" s="240"/>
      <c r="C8" s="240"/>
      <c r="D8" s="320"/>
      <c r="E8" s="287"/>
      <c r="F8" s="320"/>
      <c r="G8" s="286"/>
      <c r="H8" s="320"/>
      <c r="I8" s="320"/>
      <c r="J8" s="310"/>
      <c r="K8" s="435"/>
      <c r="L8" s="436"/>
      <c r="M8" s="289"/>
      <c r="N8" s="318"/>
      <c r="O8" s="318"/>
      <c r="P8" s="318"/>
      <c r="Q8" s="318"/>
      <c r="R8" s="320"/>
      <c r="S8" s="319"/>
    </row>
    <row r="9" spans="1:19" s="114" customFormat="1" x14ac:dyDescent="0.25">
      <c r="A9" s="320"/>
      <c r="B9" s="240"/>
      <c r="C9" s="240"/>
      <c r="D9" s="320"/>
      <c r="E9" s="287"/>
      <c r="F9" s="320"/>
      <c r="G9" s="286"/>
      <c r="H9" s="320"/>
      <c r="I9" s="320"/>
      <c r="J9" s="310"/>
      <c r="K9" s="288"/>
      <c r="L9" s="436"/>
      <c r="M9" s="289"/>
      <c r="N9" s="318"/>
      <c r="O9" s="318"/>
      <c r="P9" s="318"/>
      <c r="Q9" s="319"/>
      <c r="R9" s="319"/>
      <c r="S9" s="319"/>
    </row>
    <row r="10" spans="1:19" s="114" customFormat="1" ht="96.75" customHeight="1" x14ac:dyDescent="0.25">
      <c r="A10" s="320"/>
      <c r="B10" s="240"/>
      <c r="C10" s="240"/>
      <c r="D10" s="320"/>
      <c r="E10" s="287"/>
      <c r="F10" s="320"/>
      <c r="G10" s="286"/>
      <c r="H10" s="320"/>
      <c r="I10" s="320"/>
      <c r="J10" s="310"/>
      <c r="K10" s="305"/>
      <c r="L10" s="319"/>
      <c r="M10" s="206"/>
      <c r="N10" s="319"/>
      <c r="O10" s="319"/>
      <c r="P10" s="319"/>
      <c r="Q10" s="319"/>
      <c r="R10" s="320"/>
      <c r="S10" s="319"/>
    </row>
    <row r="11" spans="1:19" s="114" customFormat="1" x14ac:dyDescent="0.25">
      <c r="A11" s="320"/>
      <c r="B11" s="240"/>
      <c r="C11" s="240"/>
      <c r="D11" s="320"/>
      <c r="E11" s="287"/>
      <c r="F11" s="320"/>
      <c r="G11" s="286"/>
      <c r="H11" s="320"/>
      <c r="I11" s="320"/>
      <c r="J11" s="310"/>
      <c r="K11" s="288"/>
      <c r="L11" s="296"/>
      <c r="M11" s="206"/>
      <c r="N11" s="319"/>
      <c r="O11" s="319"/>
      <c r="P11" s="319"/>
      <c r="Q11" s="319"/>
      <c r="R11" s="320"/>
      <c r="S11" s="319"/>
    </row>
    <row r="12" spans="1:19" s="114" customFormat="1" x14ac:dyDescent="0.25">
      <c r="A12" s="320"/>
      <c r="B12" s="240"/>
      <c r="C12" s="240"/>
      <c r="D12" s="320"/>
      <c r="E12" s="287"/>
      <c r="F12" s="320"/>
      <c r="G12" s="286"/>
      <c r="H12" s="320"/>
      <c r="I12" s="320"/>
      <c r="J12" s="310"/>
      <c r="K12" s="288"/>
      <c r="L12" s="296"/>
      <c r="M12" s="206"/>
      <c r="N12" s="319"/>
      <c r="O12" s="319"/>
      <c r="P12" s="319"/>
      <c r="Q12" s="319"/>
      <c r="R12" s="319"/>
      <c r="S12" s="319"/>
    </row>
    <row r="13" spans="1:19" s="114" customFormat="1" x14ac:dyDescent="0.25">
      <c r="A13" s="320"/>
      <c r="B13" s="240"/>
      <c r="C13" s="240"/>
      <c r="D13" s="320"/>
      <c r="E13" s="287"/>
      <c r="F13" s="320"/>
      <c r="G13" s="286"/>
      <c r="H13" s="320"/>
      <c r="I13" s="320"/>
      <c r="J13" s="310"/>
      <c r="K13" s="288"/>
      <c r="L13" s="296"/>
      <c r="M13" s="206"/>
      <c r="N13" s="319"/>
      <c r="O13" s="319"/>
      <c r="P13" s="319"/>
      <c r="Q13" s="319"/>
      <c r="R13" s="319"/>
      <c r="S13" s="319"/>
    </row>
    <row r="14" spans="1:19" s="114" customFormat="1" x14ac:dyDescent="0.25">
      <c r="A14" s="320"/>
      <c r="B14" s="240"/>
      <c r="C14" s="240"/>
      <c r="D14" s="320"/>
      <c r="E14" s="287"/>
      <c r="F14" s="320"/>
      <c r="G14" s="286"/>
      <c r="H14" s="320"/>
      <c r="I14" s="320"/>
      <c r="J14" s="310"/>
      <c r="K14" s="288"/>
      <c r="L14" s="296"/>
      <c r="M14" s="206"/>
      <c r="N14" s="319"/>
      <c r="O14" s="319"/>
      <c r="P14" s="319"/>
      <c r="Q14" s="319"/>
      <c r="R14" s="319"/>
      <c r="S14" s="319"/>
    </row>
    <row r="15" spans="1:19" s="114" customFormat="1" x14ac:dyDescent="0.25">
      <c r="A15" s="320"/>
      <c r="B15" s="240"/>
      <c r="C15" s="240"/>
      <c r="D15" s="320"/>
      <c r="E15" s="287"/>
      <c r="F15" s="320"/>
      <c r="G15" s="286"/>
      <c r="H15" s="320"/>
      <c r="I15" s="320"/>
      <c r="J15" s="310"/>
      <c r="K15" s="288"/>
      <c r="L15" s="296"/>
      <c r="M15" s="206"/>
      <c r="N15" s="319"/>
      <c r="O15" s="319"/>
      <c r="P15" s="319"/>
      <c r="Q15" s="319"/>
      <c r="R15" s="319"/>
      <c r="S15" s="319"/>
    </row>
    <row r="16" spans="1:19" s="114" customFormat="1" x14ac:dyDescent="0.25">
      <c r="A16" s="320"/>
      <c r="B16" s="240"/>
      <c r="C16" s="240"/>
      <c r="D16" s="320"/>
      <c r="E16" s="287"/>
      <c r="F16" s="320"/>
      <c r="G16" s="286"/>
      <c r="H16" s="320"/>
      <c r="I16" s="320"/>
      <c r="J16" s="310"/>
      <c r="K16" s="288"/>
      <c r="L16" s="296"/>
      <c r="M16" s="206"/>
      <c r="N16" s="319"/>
      <c r="O16" s="319"/>
      <c r="P16" s="319"/>
      <c r="Q16" s="319"/>
      <c r="R16" s="319"/>
      <c r="S16" s="319"/>
    </row>
    <row r="17" spans="1:19" s="114" customFormat="1" x14ac:dyDescent="0.25">
      <c r="A17" s="320"/>
      <c r="B17" s="240"/>
      <c r="C17" s="240"/>
      <c r="D17" s="320"/>
      <c r="E17" s="287"/>
      <c r="F17" s="320"/>
      <c r="G17" s="286"/>
      <c r="H17" s="320"/>
      <c r="I17" s="320"/>
      <c r="J17" s="310"/>
      <c r="K17" s="288"/>
      <c r="L17" s="296"/>
      <c r="M17" s="206"/>
      <c r="N17" s="319"/>
      <c r="O17" s="319"/>
      <c r="P17" s="319"/>
      <c r="Q17" s="319"/>
      <c r="R17" s="319"/>
      <c r="S17" s="319"/>
    </row>
    <row r="18" spans="1:19" s="114" customFormat="1" x14ac:dyDescent="0.25">
      <c r="A18" s="320"/>
      <c r="B18" s="240"/>
      <c r="C18" s="240"/>
      <c r="D18" s="320"/>
      <c r="E18" s="287"/>
      <c r="F18" s="320"/>
      <c r="G18" s="286"/>
      <c r="H18" s="320"/>
      <c r="I18" s="320"/>
      <c r="J18" s="310"/>
      <c r="K18" s="288"/>
      <c r="L18" s="296"/>
      <c r="M18" s="206"/>
      <c r="N18" s="319"/>
      <c r="O18" s="319"/>
      <c r="P18" s="319"/>
      <c r="Q18" s="319"/>
      <c r="R18" s="319"/>
      <c r="S18" s="319"/>
    </row>
    <row r="19" spans="1:19" s="114" customFormat="1" x14ac:dyDescent="0.25">
      <c r="A19" s="319"/>
      <c r="B19" s="206"/>
      <c r="C19" s="206"/>
      <c r="D19" s="319"/>
      <c r="E19" s="304"/>
      <c r="F19" s="319"/>
      <c r="G19" s="282"/>
      <c r="H19" s="319"/>
      <c r="I19" s="319"/>
      <c r="J19" s="305"/>
      <c r="K19" s="288"/>
      <c r="L19" s="296"/>
      <c r="M19" s="206"/>
      <c r="N19" s="319"/>
      <c r="O19" s="319"/>
      <c r="P19" s="319"/>
      <c r="Q19" s="319"/>
      <c r="R19" s="319"/>
      <c r="S19" s="319"/>
    </row>
    <row r="20" spans="1:19" s="114" customFormat="1" x14ac:dyDescent="0.25">
      <c r="A20" s="260"/>
      <c r="B20" s="300"/>
      <c r="C20" s="300"/>
      <c r="D20" s="260"/>
      <c r="E20" s="301"/>
      <c r="F20" s="260"/>
      <c r="G20" s="318"/>
      <c r="H20" s="260"/>
      <c r="I20" s="318"/>
      <c r="J20" s="303"/>
      <c r="K20" s="288"/>
      <c r="L20" s="296"/>
      <c r="M20" s="206"/>
      <c r="N20" s="319"/>
      <c r="O20" s="319"/>
      <c r="P20" s="319"/>
      <c r="Q20" s="319"/>
      <c r="R20" s="319"/>
      <c r="S20" s="319"/>
    </row>
    <row r="21" spans="1:19" s="114" customFormat="1" x14ac:dyDescent="0.25">
      <c r="A21" s="285"/>
      <c r="B21" s="206"/>
      <c r="C21" s="206"/>
      <c r="D21" s="285"/>
      <c r="E21" s="304"/>
      <c r="F21" s="285"/>
      <c r="G21" s="285"/>
      <c r="H21" s="285"/>
      <c r="I21" s="285"/>
      <c r="J21" s="305"/>
      <c r="K21" s="288"/>
      <c r="L21" s="296"/>
      <c r="M21" s="206"/>
      <c r="N21" s="285"/>
      <c r="O21" s="285"/>
      <c r="P21" s="285"/>
      <c r="Q21" s="285"/>
      <c r="R21" s="285"/>
      <c r="S21" s="285"/>
    </row>
    <row r="22" spans="1:19" s="114" customFormat="1" x14ac:dyDescent="0.25">
      <c r="A22" s="285"/>
      <c r="B22" s="206"/>
      <c r="C22" s="206"/>
      <c r="D22" s="285"/>
      <c r="E22" s="304"/>
      <c r="F22" s="285"/>
      <c r="G22" s="282"/>
      <c r="H22" s="285"/>
      <c r="I22" s="285"/>
      <c r="J22" s="305"/>
      <c r="K22" s="288"/>
      <c r="L22" s="296"/>
      <c r="M22" s="206"/>
      <c r="N22" s="285"/>
      <c r="O22" s="285"/>
      <c r="P22" s="285"/>
      <c r="Q22" s="285"/>
      <c r="R22" s="285"/>
      <c r="S22" s="285"/>
    </row>
    <row r="23" spans="1:19" s="114" customFormat="1" x14ac:dyDescent="0.25">
      <c r="A23" s="258"/>
      <c r="B23" s="240"/>
      <c r="C23" s="240"/>
      <c r="D23" s="258"/>
      <c r="E23" s="287"/>
      <c r="F23" s="258"/>
      <c r="G23" s="285"/>
      <c r="H23" s="285"/>
      <c r="I23" s="258"/>
      <c r="J23" s="305"/>
      <c r="K23" s="288"/>
      <c r="L23" s="296"/>
      <c r="M23" s="206"/>
      <c r="N23" s="285"/>
      <c r="O23" s="285"/>
      <c r="P23" s="285"/>
      <c r="Q23" s="285"/>
      <c r="R23" s="285"/>
      <c r="S23" s="285"/>
    </row>
    <row r="24" spans="1:19" s="114" customFormat="1" x14ac:dyDescent="0.25">
      <c r="A24" s="285"/>
      <c r="B24" s="206"/>
      <c r="C24" s="206"/>
      <c r="D24" s="285"/>
      <c r="E24" s="304"/>
      <c r="F24" s="285"/>
      <c r="G24" s="308"/>
      <c r="H24" s="285"/>
      <c r="I24" s="285"/>
      <c r="J24" s="305"/>
      <c r="K24" s="288"/>
      <c r="L24" s="285"/>
      <c r="M24" s="206"/>
      <c r="N24" s="285"/>
      <c r="O24" s="285"/>
      <c r="P24" s="285"/>
      <c r="Q24" s="285"/>
      <c r="R24" s="285"/>
      <c r="S24" s="285"/>
    </row>
    <row r="25" spans="1:19" s="114" customFormat="1" x14ac:dyDescent="0.25">
      <c r="A25" s="285"/>
      <c r="B25" s="206"/>
      <c r="C25" s="206"/>
      <c r="D25" s="285"/>
      <c r="E25" s="304"/>
      <c r="F25" s="285"/>
      <c r="G25" s="308"/>
      <c r="H25" s="285"/>
      <c r="I25" s="285"/>
      <c r="J25" s="305"/>
      <c r="K25" s="288"/>
      <c r="L25" s="296"/>
      <c r="M25" s="206"/>
      <c r="N25" s="285"/>
      <c r="O25" s="285"/>
      <c r="P25" s="285"/>
      <c r="Q25" s="285"/>
      <c r="R25" s="285"/>
      <c r="S25" s="285"/>
    </row>
    <row r="26" spans="1:19" s="114" customFormat="1" x14ac:dyDescent="0.25">
      <c r="A26" s="258"/>
      <c r="B26" s="240"/>
      <c r="C26" s="240"/>
      <c r="D26" s="258"/>
      <c r="E26" s="287"/>
      <c r="F26" s="258"/>
      <c r="G26" s="283"/>
      <c r="H26" s="258"/>
      <c r="I26" s="258"/>
      <c r="J26" s="305"/>
      <c r="K26" s="288"/>
      <c r="L26" s="296"/>
      <c r="M26" s="206"/>
      <c r="N26" s="285"/>
      <c r="O26" s="285"/>
      <c r="P26" s="285"/>
      <c r="Q26" s="285"/>
      <c r="R26" s="285"/>
      <c r="S26" s="285"/>
    </row>
    <row r="27" spans="1:19" s="114" customFormat="1" x14ac:dyDescent="0.25">
      <c r="A27" s="285"/>
      <c r="B27" s="206"/>
      <c r="C27" s="206"/>
      <c r="D27" s="285"/>
      <c r="E27" s="304"/>
      <c r="F27" s="285"/>
      <c r="G27" s="282"/>
      <c r="H27" s="285"/>
      <c r="I27" s="285"/>
      <c r="J27" s="305"/>
      <c r="K27" s="288"/>
      <c r="L27" s="296"/>
      <c r="M27" s="206"/>
      <c r="N27" s="285"/>
      <c r="O27" s="285"/>
      <c r="P27" s="285"/>
      <c r="Q27" s="285"/>
      <c r="R27" s="285"/>
      <c r="S27" s="285"/>
    </row>
    <row r="28" spans="1:19" s="299" customFormat="1" x14ac:dyDescent="0.25">
      <c r="A28" s="333"/>
      <c r="B28" s="333"/>
      <c r="C28" s="333"/>
      <c r="D28" s="333"/>
      <c r="E28" s="333"/>
      <c r="F28" s="333"/>
      <c r="G28" s="333"/>
      <c r="H28" s="333"/>
      <c r="I28" s="333"/>
      <c r="J28" s="333"/>
      <c r="K28" s="296"/>
      <c r="L28" s="297"/>
      <c r="M28" s="260"/>
      <c r="N28" s="260"/>
      <c r="O28" s="260"/>
      <c r="P28" s="260"/>
      <c r="Q28" s="260"/>
      <c r="R28" s="298"/>
      <c r="S28" s="298"/>
    </row>
    <row r="29" spans="1:19" s="114" customFormat="1" x14ac:dyDescent="0.25">
      <c r="A29" s="260"/>
      <c r="B29" s="300"/>
      <c r="C29" s="300"/>
      <c r="D29" s="260"/>
      <c r="E29" s="309"/>
      <c r="F29" s="260"/>
      <c r="G29" s="283"/>
      <c r="H29" s="260"/>
      <c r="I29" s="283"/>
      <c r="J29" s="303"/>
      <c r="K29" s="288"/>
      <c r="L29" s="296"/>
      <c r="M29" s="206"/>
      <c r="N29" s="285"/>
      <c r="O29" s="285"/>
      <c r="P29" s="285"/>
      <c r="Q29" s="285"/>
      <c r="R29" s="285"/>
      <c r="S29" s="285"/>
    </row>
    <row r="30" spans="1:19" s="114" customFormat="1" x14ac:dyDescent="0.25">
      <c r="A30" s="285"/>
      <c r="B30" s="206"/>
      <c r="C30" s="206"/>
      <c r="D30" s="285"/>
      <c r="E30" s="306"/>
      <c r="F30" s="285"/>
      <c r="G30" s="285"/>
      <c r="H30" s="285"/>
      <c r="I30" s="285"/>
      <c r="J30" s="305"/>
      <c r="K30" s="288"/>
      <c r="L30" s="296"/>
      <c r="M30" s="206"/>
      <c r="N30" s="285"/>
      <c r="O30" s="285"/>
      <c r="P30" s="285"/>
      <c r="Q30" s="285"/>
      <c r="R30" s="285"/>
      <c r="S30" s="285"/>
    </row>
    <row r="31" spans="1:19" s="114" customFormat="1" x14ac:dyDescent="0.25">
      <c r="A31" s="258"/>
      <c r="B31" s="240"/>
      <c r="C31" s="240"/>
      <c r="D31" s="258"/>
      <c r="E31" s="287"/>
      <c r="F31" s="258"/>
      <c r="G31" s="282"/>
      <c r="H31" s="285"/>
      <c r="I31" s="258"/>
      <c r="J31" s="305"/>
      <c r="K31" s="288"/>
      <c r="L31" s="296"/>
      <c r="M31" s="206"/>
      <c r="N31" s="285"/>
      <c r="O31" s="285"/>
      <c r="P31" s="285"/>
      <c r="Q31" s="285"/>
      <c r="R31" s="285"/>
      <c r="S31" s="285"/>
    </row>
    <row r="32" spans="1:19" s="114" customFormat="1" x14ac:dyDescent="0.25">
      <c r="A32" s="285"/>
      <c r="B32" s="206"/>
      <c r="C32" s="206"/>
      <c r="D32" s="285"/>
      <c r="E32" s="304"/>
      <c r="F32" s="285"/>
      <c r="G32" s="285"/>
      <c r="H32" s="285"/>
      <c r="I32" s="285"/>
      <c r="J32" s="305"/>
      <c r="K32" s="288"/>
      <c r="L32" s="296"/>
      <c r="M32" s="206"/>
      <c r="N32" s="285"/>
      <c r="O32" s="285"/>
      <c r="P32" s="285"/>
      <c r="Q32" s="285"/>
      <c r="R32" s="285"/>
      <c r="S32" s="285"/>
    </row>
    <row r="33" spans="1:19" s="114" customFormat="1" x14ac:dyDescent="0.25">
      <c r="A33" s="285"/>
      <c r="B33" s="206"/>
      <c r="C33" s="206"/>
      <c r="D33" s="285"/>
      <c r="E33" s="304"/>
      <c r="F33" s="285"/>
      <c r="G33" s="308"/>
      <c r="H33" s="285"/>
      <c r="I33" s="285"/>
      <c r="J33" s="305"/>
      <c r="K33" s="305"/>
      <c r="L33" s="285"/>
      <c r="M33" s="206"/>
      <c r="N33" s="285"/>
      <c r="O33" s="285"/>
      <c r="P33" s="285"/>
      <c r="Q33" s="285"/>
      <c r="R33" s="285"/>
      <c r="S33" s="285"/>
    </row>
    <row r="34" spans="1:19" s="114" customFormat="1" x14ac:dyDescent="0.25">
      <c r="A34" s="260"/>
      <c r="B34" s="300"/>
      <c r="C34" s="300"/>
      <c r="D34" s="260"/>
      <c r="E34" s="301"/>
      <c r="F34" s="260"/>
      <c r="G34" s="260"/>
      <c r="H34" s="285"/>
      <c r="I34" s="260"/>
      <c r="J34" s="303"/>
      <c r="K34" s="288"/>
      <c r="L34" s="296"/>
      <c r="M34" s="206"/>
      <c r="N34" s="285"/>
      <c r="O34" s="285"/>
      <c r="P34" s="285"/>
      <c r="Q34" s="285"/>
      <c r="R34" s="285"/>
      <c r="S34" s="285"/>
    </row>
    <row r="35" spans="1:19" s="114" customFormat="1" x14ac:dyDescent="0.25">
      <c r="A35" s="258"/>
      <c r="B35" s="240"/>
      <c r="C35" s="240"/>
      <c r="D35" s="258"/>
      <c r="E35" s="287"/>
      <c r="F35" s="258"/>
      <c r="G35" s="285"/>
      <c r="H35" s="285"/>
      <c r="I35" s="258"/>
      <c r="J35" s="303"/>
      <c r="K35" s="288"/>
      <c r="L35" s="296"/>
      <c r="M35" s="206"/>
      <c r="N35" s="285"/>
      <c r="O35" s="285"/>
      <c r="P35" s="285"/>
      <c r="Q35" s="285"/>
      <c r="R35" s="285"/>
      <c r="S35" s="285"/>
    </row>
    <row r="36" spans="1:19" s="114" customFormat="1" x14ac:dyDescent="0.25">
      <c r="A36" s="258"/>
      <c r="B36" s="240"/>
      <c r="C36" s="240"/>
      <c r="D36" s="258"/>
      <c r="E36" s="287"/>
      <c r="F36" s="258"/>
      <c r="G36" s="286"/>
      <c r="H36" s="285"/>
      <c r="I36" s="258"/>
      <c r="J36" s="303"/>
      <c r="K36" s="288"/>
      <c r="L36" s="296"/>
      <c r="M36" s="206"/>
      <c r="N36" s="285"/>
      <c r="O36" s="285"/>
      <c r="P36" s="285"/>
      <c r="Q36" s="285"/>
      <c r="R36" s="285"/>
      <c r="S36" s="285"/>
    </row>
    <row r="37" spans="1:19" s="299" customFormat="1" x14ac:dyDescent="0.25">
      <c r="A37" s="334"/>
      <c r="B37" s="334"/>
      <c r="C37" s="334"/>
      <c r="D37" s="334"/>
      <c r="E37" s="334"/>
      <c r="F37" s="334"/>
      <c r="G37" s="334"/>
      <c r="H37" s="334"/>
      <c r="I37" s="334"/>
      <c r="J37" s="334"/>
      <c r="K37" s="296"/>
      <c r="L37" s="297"/>
      <c r="M37" s="260"/>
      <c r="N37" s="260"/>
      <c r="O37" s="260"/>
      <c r="P37" s="260"/>
      <c r="Q37" s="260"/>
      <c r="R37" s="298"/>
      <c r="S37" s="298"/>
    </row>
    <row r="38" spans="1:19" s="114" customFormat="1" x14ac:dyDescent="0.25">
      <c r="A38" s="258"/>
      <c r="B38" s="240"/>
      <c r="C38" s="240"/>
      <c r="D38" s="258"/>
      <c r="E38" s="287"/>
      <c r="F38" s="258"/>
      <c r="G38" s="285"/>
      <c r="H38" s="285"/>
      <c r="I38" s="258"/>
      <c r="J38" s="310"/>
      <c r="K38" s="288"/>
      <c r="L38" s="296"/>
      <c r="M38" s="206"/>
      <c r="N38" s="285"/>
      <c r="O38" s="285"/>
      <c r="P38" s="285"/>
      <c r="Q38" s="285"/>
      <c r="R38" s="285"/>
      <c r="S38" s="285"/>
    </row>
    <row r="39" spans="1:19" s="114" customFormat="1" x14ac:dyDescent="0.25">
      <c r="A39" s="285"/>
      <c r="B39" s="206"/>
      <c r="C39" s="206"/>
      <c r="D39" s="285"/>
      <c r="E39" s="306"/>
      <c r="F39" s="285"/>
      <c r="G39" s="285"/>
      <c r="H39" s="285"/>
      <c r="I39" s="285"/>
      <c r="J39" s="305"/>
      <c r="K39" s="288"/>
      <c r="L39" s="296"/>
      <c r="M39" s="206"/>
      <c r="N39" s="285"/>
      <c r="O39" s="285"/>
      <c r="P39" s="285"/>
      <c r="Q39" s="285"/>
      <c r="R39" s="285"/>
      <c r="S39" s="285"/>
    </row>
    <row r="40" spans="1:19" s="114" customFormat="1" x14ac:dyDescent="0.25">
      <c r="A40" s="285"/>
      <c r="B40" s="206"/>
      <c r="C40" s="206"/>
      <c r="D40" s="285"/>
      <c r="E40" s="304"/>
      <c r="F40" s="285"/>
      <c r="G40" s="282"/>
      <c r="H40" s="285"/>
      <c r="I40" s="285"/>
      <c r="J40" s="310"/>
      <c r="K40" s="288"/>
      <c r="L40" s="296"/>
      <c r="M40" s="206"/>
      <c r="N40" s="285"/>
      <c r="O40" s="285"/>
      <c r="P40" s="285"/>
      <c r="Q40" s="285"/>
      <c r="R40" s="285"/>
      <c r="S40" s="285"/>
    </row>
    <row r="41" spans="1:19" s="114" customFormat="1" x14ac:dyDescent="0.25">
      <c r="A41" s="283"/>
      <c r="B41" s="289"/>
      <c r="C41" s="289"/>
      <c r="D41" s="283"/>
      <c r="E41" s="311"/>
      <c r="F41" s="283"/>
      <c r="G41" s="285"/>
      <c r="H41" s="285"/>
      <c r="I41" s="283"/>
      <c r="J41" s="310"/>
      <c r="K41" s="288"/>
      <c r="L41" s="296"/>
      <c r="M41" s="206"/>
      <c r="N41" s="285"/>
      <c r="O41" s="285"/>
      <c r="P41" s="285"/>
      <c r="Q41" s="285"/>
      <c r="R41" s="285"/>
      <c r="S41" s="285"/>
    </row>
    <row r="42" spans="1:19" s="114" customFormat="1" x14ac:dyDescent="0.25">
      <c r="A42" s="285"/>
      <c r="B42" s="206"/>
      <c r="C42" s="206"/>
      <c r="D42" s="285"/>
      <c r="E42" s="304"/>
      <c r="F42" s="285"/>
      <c r="G42" s="308"/>
      <c r="H42" s="285"/>
      <c r="I42" s="285"/>
      <c r="J42" s="305"/>
      <c r="K42" s="288"/>
      <c r="L42" s="285"/>
      <c r="M42" s="206"/>
      <c r="N42" s="285"/>
      <c r="O42" s="285"/>
      <c r="P42" s="285"/>
      <c r="Q42" s="285"/>
      <c r="R42" s="285"/>
      <c r="S42" s="285"/>
    </row>
    <row r="43" spans="1:19" s="114" customFormat="1" x14ac:dyDescent="0.25">
      <c r="A43" s="260"/>
      <c r="B43" s="300"/>
      <c r="C43" s="300"/>
      <c r="D43" s="260"/>
      <c r="E43" s="301"/>
      <c r="F43" s="260"/>
      <c r="G43" s="308"/>
      <c r="H43" s="285"/>
      <c r="I43" s="260"/>
      <c r="J43" s="303"/>
      <c r="K43" s="288"/>
      <c r="L43" s="296"/>
      <c r="M43" s="206"/>
      <c r="N43" s="285"/>
      <c r="O43" s="285"/>
      <c r="P43" s="285"/>
      <c r="Q43" s="285"/>
      <c r="R43" s="285"/>
      <c r="S43" s="285"/>
    </row>
    <row r="44" spans="1:19" s="114" customFormat="1" x14ac:dyDescent="0.25">
      <c r="A44" s="258"/>
      <c r="B44" s="240"/>
      <c r="C44" s="240"/>
      <c r="D44" s="258"/>
      <c r="E44" s="287"/>
      <c r="F44" s="258"/>
      <c r="G44" s="285"/>
      <c r="H44" s="285"/>
      <c r="I44" s="258"/>
      <c r="J44" s="303"/>
      <c r="K44" s="288"/>
      <c r="L44" s="296"/>
      <c r="M44" s="206"/>
      <c r="N44" s="285"/>
      <c r="O44" s="285"/>
      <c r="P44" s="285"/>
      <c r="Q44" s="285"/>
      <c r="R44" s="285"/>
      <c r="S44" s="285"/>
    </row>
    <row r="45" spans="1:19" s="114" customFormat="1" x14ac:dyDescent="0.25">
      <c r="A45" s="258"/>
      <c r="B45" s="240"/>
      <c r="C45" s="240"/>
      <c r="D45" s="258"/>
      <c r="E45" s="287"/>
      <c r="F45" s="258"/>
      <c r="G45" s="286"/>
      <c r="H45" s="258"/>
      <c r="I45" s="258"/>
      <c r="J45" s="303"/>
      <c r="K45" s="288"/>
      <c r="L45" s="296"/>
      <c r="M45" s="206"/>
      <c r="N45" s="285"/>
      <c r="O45" s="285"/>
      <c r="P45" s="285"/>
      <c r="Q45" s="285"/>
      <c r="R45" s="285"/>
      <c r="S45" s="285"/>
    </row>
    <row r="46" spans="1:19" s="299" customFormat="1" x14ac:dyDescent="0.25">
      <c r="A46" s="333"/>
      <c r="B46" s="333"/>
      <c r="C46" s="333"/>
      <c r="D46" s="333"/>
      <c r="E46" s="333"/>
      <c r="F46" s="333"/>
      <c r="G46" s="333"/>
      <c r="H46" s="333"/>
      <c r="I46" s="333"/>
      <c r="J46" s="333"/>
      <c r="K46" s="296"/>
      <c r="L46" s="114"/>
      <c r="M46" s="312"/>
      <c r="N46" s="114"/>
      <c r="O46" s="114"/>
      <c r="P46" s="114"/>
      <c r="Q46" s="114"/>
      <c r="R46" s="114"/>
      <c r="S46" s="114"/>
    </row>
    <row r="47" spans="1:19" s="299" customFormat="1" x14ac:dyDescent="0.25">
      <c r="A47" s="260"/>
      <c r="B47" s="300"/>
      <c r="C47" s="300"/>
      <c r="D47" s="260"/>
      <c r="E47" s="309"/>
      <c r="F47" s="260"/>
      <c r="G47" s="260"/>
      <c r="H47" s="260"/>
      <c r="I47" s="260"/>
      <c r="J47" s="303"/>
      <c r="K47" s="296"/>
      <c r="L47" s="114"/>
      <c r="M47" s="312"/>
      <c r="N47" s="114"/>
      <c r="O47" s="114"/>
      <c r="P47" s="114"/>
      <c r="Q47" s="114"/>
      <c r="R47" s="114"/>
      <c r="S47" s="114"/>
    </row>
    <row r="48" spans="1:19" s="299" customFormat="1" x14ac:dyDescent="0.25">
      <c r="A48" s="258"/>
      <c r="B48" s="240"/>
      <c r="C48" s="240"/>
      <c r="D48" s="258"/>
      <c r="E48" s="313"/>
      <c r="F48" s="258"/>
      <c r="G48" s="314"/>
      <c r="H48" s="258"/>
      <c r="I48" s="258"/>
      <c r="J48" s="310"/>
      <c r="K48" s="296"/>
      <c r="L48" s="114"/>
      <c r="M48" s="312"/>
      <c r="N48" s="114"/>
      <c r="O48" s="114"/>
      <c r="P48" s="114"/>
      <c r="Q48" s="114"/>
      <c r="R48" s="114"/>
      <c r="S48" s="114"/>
    </row>
    <row r="49" spans="1:19" s="114" customFormat="1" x14ac:dyDescent="0.25">
      <c r="A49" s="258"/>
      <c r="B49" s="206"/>
      <c r="C49" s="206"/>
      <c r="D49" s="258"/>
      <c r="E49" s="287"/>
      <c r="F49" s="258"/>
      <c r="G49" s="286"/>
      <c r="H49" s="258"/>
      <c r="I49" s="258"/>
      <c r="J49" s="310"/>
      <c r="K49" s="288"/>
      <c r="L49" s="296"/>
      <c r="M49" s="206"/>
      <c r="N49" s="285"/>
      <c r="O49" s="285"/>
      <c r="P49" s="285"/>
      <c r="Q49" s="285"/>
      <c r="R49" s="285"/>
      <c r="S49" s="285"/>
    </row>
    <row r="50" spans="1:19" s="114" customFormat="1" x14ac:dyDescent="0.25">
      <c r="A50" s="285"/>
      <c r="B50" s="206"/>
      <c r="C50" s="206"/>
      <c r="D50" s="285"/>
      <c r="E50" s="304"/>
      <c r="F50" s="285"/>
      <c r="G50" s="285"/>
      <c r="H50" s="258"/>
      <c r="I50" s="285"/>
      <c r="J50" s="305"/>
      <c r="K50" s="288"/>
      <c r="L50" s="296"/>
      <c r="M50" s="206"/>
      <c r="N50" s="285"/>
      <c r="O50" s="285"/>
      <c r="P50" s="285"/>
      <c r="Q50" s="285"/>
      <c r="R50" s="285"/>
      <c r="S50" s="285"/>
    </row>
    <row r="51" spans="1:19" s="114" customFormat="1" x14ac:dyDescent="0.25">
      <c r="A51" s="285"/>
      <c r="B51" s="206"/>
      <c r="C51" s="206"/>
      <c r="D51" s="285"/>
      <c r="E51" s="304"/>
      <c r="F51" s="285"/>
      <c r="G51" s="308"/>
      <c r="H51" s="285"/>
      <c r="I51" s="285"/>
      <c r="J51" s="305"/>
      <c r="K51" s="288"/>
      <c r="L51" s="285"/>
      <c r="M51" s="206"/>
      <c r="N51" s="285"/>
      <c r="O51" s="285"/>
      <c r="P51" s="285"/>
      <c r="Q51" s="285"/>
      <c r="R51" s="285"/>
      <c r="S51" s="285"/>
    </row>
    <row r="52" spans="1:19" s="299" customFormat="1" x14ac:dyDescent="0.25">
      <c r="A52" s="285"/>
      <c r="B52" s="206"/>
      <c r="C52" s="206"/>
      <c r="D52" s="285"/>
      <c r="E52" s="304"/>
      <c r="F52" s="285"/>
      <c r="G52" s="285"/>
      <c r="H52" s="285"/>
      <c r="I52" s="285"/>
      <c r="J52" s="303"/>
      <c r="K52" s="296"/>
      <c r="L52" s="114"/>
      <c r="M52" s="312"/>
      <c r="N52" s="114"/>
      <c r="O52" s="114"/>
      <c r="P52" s="114"/>
      <c r="Q52" s="114"/>
      <c r="R52" s="114"/>
      <c r="S52" s="114"/>
    </row>
    <row r="53" spans="1:19" s="114" customFormat="1" x14ac:dyDescent="0.25">
      <c r="A53" s="285"/>
      <c r="B53" s="206"/>
      <c r="C53" s="206"/>
      <c r="D53" s="285"/>
      <c r="E53" s="304"/>
      <c r="F53" s="285"/>
      <c r="G53" s="308"/>
      <c r="H53" s="285"/>
      <c r="I53" s="285"/>
      <c r="J53" s="303"/>
      <c r="K53" s="288"/>
      <c r="L53" s="296"/>
      <c r="M53" s="206"/>
      <c r="N53" s="285"/>
      <c r="O53" s="285"/>
      <c r="P53" s="285"/>
      <c r="Q53" s="285"/>
      <c r="R53" s="285"/>
      <c r="S53" s="285"/>
    </row>
    <row r="54" spans="1:19" s="114" customFormat="1" x14ac:dyDescent="0.25">
      <c r="A54" s="285"/>
      <c r="B54" s="206"/>
      <c r="C54" s="206"/>
      <c r="D54" s="285"/>
      <c r="E54" s="304"/>
      <c r="F54" s="285"/>
      <c r="G54" s="285"/>
      <c r="H54" s="285"/>
      <c r="I54" s="285"/>
      <c r="J54" s="305"/>
      <c r="K54" s="288"/>
      <c r="L54" s="296"/>
      <c r="M54" s="206"/>
      <c r="N54" s="285"/>
      <c r="O54" s="285"/>
      <c r="P54" s="285"/>
      <c r="Q54" s="285"/>
      <c r="R54" s="285"/>
      <c r="S54" s="285"/>
    </row>
    <row r="55" spans="1:19" s="114" customFormat="1" x14ac:dyDescent="0.25">
      <c r="A55" s="260"/>
      <c r="B55" s="240"/>
      <c r="C55" s="240"/>
      <c r="D55" s="258"/>
      <c r="E55" s="301"/>
      <c r="F55" s="260"/>
      <c r="G55" s="302"/>
      <c r="H55" s="260"/>
      <c r="I55" s="260"/>
      <c r="J55" s="303"/>
      <c r="K55" s="288"/>
      <c r="L55" s="296"/>
      <c r="M55" s="206"/>
      <c r="N55" s="285"/>
      <c r="O55" s="285"/>
      <c r="P55" s="285"/>
      <c r="Q55" s="285"/>
      <c r="R55" s="285"/>
      <c r="S55" s="285"/>
    </row>
    <row r="56" spans="1:19" s="299" customFormat="1" x14ac:dyDescent="0.25">
      <c r="A56" s="333"/>
      <c r="B56" s="333"/>
      <c r="C56" s="333"/>
      <c r="D56" s="333"/>
      <c r="E56" s="333"/>
      <c r="F56" s="333"/>
      <c r="G56" s="333"/>
      <c r="H56" s="333"/>
      <c r="I56" s="333"/>
      <c r="J56" s="333"/>
      <c r="K56" s="296"/>
      <c r="L56" s="114"/>
      <c r="M56" s="312"/>
      <c r="N56" s="114"/>
      <c r="O56" s="114"/>
      <c r="P56" s="114"/>
      <c r="Q56" s="114"/>
      <c r="R56" s="114"/>
      <c r="S56" s="114"/>
    </row>
    <row r="57" spans="1:19" s="299" customFormat="1" x14ac:dyDescent="0.25">
      <c r="A57" s="260"/>
      <c r="B57" s="300"/>
      <c r="C57" s="300"/>
      <c r="D57" s="260"/>
      <c r="E57" s="309"/>
      <c r="F57" s="260"/>
      <c r="G57" s="260"/>
      <c r="H57" s="260"/>
      <c r="I57" s="260"/>
      <c r="J57" s="303"/>
      <c r="K57" s="296"/>
      <c r="L57" s="114"/>
      <c r="M57" s="312"/>
      <c r="N57" s="114"/>
      <c r="O57" s="114"/>
      <c r="P57" s="114"/>
      <c r="Q57" s="114"/>
      <c r="R57" s="114"/>
      <c r="S57" s="114"/>
    </row>
    <row r="58" spans="1:19" s="299" customFormat="1" x14ac:dyDescent="0.25">
      <c r="A58" s="258"/>
      <c r="B58" s="240"/>
      <c r="C58" s="240"/>
      <c r="D58" s="258"/>
      <c r="E58" s="313"/>
      <c r="F58" s="258"/>
      <c r="G58" s="314"/>
      <c r="H58" s="258"/>
      <c r="I58" s="258"/>
      <c r="J58" s="310"/>
      <c r="K58" s="296"/>
      <c r="L58" s="114"/>
      <c r="M58" s="312"/>
      <c r="N58" s="114"/>
      <c r="O58" s="114"/>
      <c r="P58" s="114"/>
      <c r="Q58" s="114"/>
      <c r="R58" s="114"/>
      <c r="S58" s="114"/>
    </row>
    <row r="59" spans="1:19" s="299" customFormat="1" x14ac:dyDescent="0.25">
      <c r="A59" s="285"/>
      <c r="B59" s="206"/>
      <c r="C59" s="206"/>
      <c r="D59" s="285"/>
      <c r="E59" s="304"/>
      <c r="F59" s="285"/>
      <c r="G59" s="285"/>
      <c r="H59" s="285"/>
      <c r="I59" s="285"/>
      <c r="J59" s="305"/>
      <c r="K59" s="296"/>
      <c r="L59" s="114"/>
      <c r="M59" s="312"/>
      <c r="N59" s="114"/>
      <c r="O59" s="114"/>
      <c r="P59" s="114"/>
      <c r="Q59" s="114"/>
      <c r="R59" s="114"/>
      <c r="S59" s="114"/>
    </row>
    <row r="60" spans="1:19" s="114" customFormat="1" x14ac:dyDescent="0.25">
      <c r="A60" s="260"/>
      <c r="B60" s="300"/>
      <c r="C60" s="300"/>
      <c r="D60" s="260"/>
      <c r="E60" s="301"/>
      <c r="F60" s="260"/>
      <c r="G60" s="307"/>
      <c r="H60" s="260"/>
      <c r="I60" s="260"/>
      <c r="J60" s="303"/>
      <c r="K60" s="288"/>
      <c r="L60" s="296"/>
      <c r="M60" s="206"/>
      <c r="N60" s="285"/>
      <c r="O60" s="285"/>
      <c r="P60" s="285"/>
      <c r="Q60" s="285"/>
      <c r="R60" s="285"/>
      <c r="S60" s="285"/>
    </row>
    <row r="61" spans="1:19" s="299" customFormat="1" x14ac:dyDescent="0.25">
      <c r="A61" s="333"/>
      <c r="B61" s="333"/>
      <c r="C61" s="333"/>
      <c r="D61" s="333"/>
      <c r="E61" s="333"/>
      <c r="F61" s="333"/>
      <c r="G61" s="333"/>
      <c r="H61" s="333"/>
      <c r="I61" s="333"/>
      <c r="J61" s="333"/>
      <c r="K61" s="296"/>
      <c r="L61" s="114"/>
      <c r="M61" s="312"/>
      <c r="N61" s="114"/>
      <c r="O61" s="114"/>
      <c r="P61" s="114"/>
      <c r="Q61" s="114"/>
      <c r="R61" s="114"/>
      <c r="S61" s="114"/>
    </row>
    <row r="62" spans="1:19" s="114" customFormat="1" x14ac:dyDescent="0.25">
      <c r="A62" s="260"/>
      <c r="B62" s="206"/>
      <c r="C62" s="206"/>
      <c r="D62" s="260"/>
      <c r="E62" s="309"/>
      <c r="F62" s="260"/>
      <c r="G62" s="260"/>
      <c r="H62" s="260"/>
      <c r="I62" s="260"/>
      <c r="J62" s="303"/>
      <c r="K62" s="288"/>
      <c r="M62" s="312"/>
    </row>
    <row r="63" spans="1:19" s="114" customFormat="1" x14ac:dyDescent="0.25">
      <c r="A63" s="258"/>
      <c r="B63" s="240"/>
      <c r="C63" s="240"/>
      <c r="D63" s="258"/>
      <c r="E63" s="313"/>
      <c r="F63" s="258"/>
      <c r="G63" s="314"/>
      <c r="H63" s="258"/>
      <c r="I63" s="258"/>
      <c r="J63" s="310"/>
      <c r="K63" s="288"/>
      <c r="M63" s="312"/>
    </row>
    <row r="64" spans="1:19" s="114" customFormat="1" x14ac:dyDescent="0.25">
      <c r="A64" s="258"/>
      <c r="B64" s="240"/>
      <c r="C64" s="240"/>
      <c r="D64" s="258"/>
      <c r="E64" s="287"/>
      <c r="F64" s="258"/>
      <c r="G64" s="286"/>
      <c r="H64" s="258"/>
      <c r="I64" s="258"/>
      <c r="J64" s="310"/>
      <c r="K64" s="288"/>
      <c r="L64" s="296"/>
      <c r="M64" s="206"/>
      <c r="N64" s="285"/>
      <c r="O64" s="285"/>
      <c r="P64" s="285"/>
      <c r="Q64" s="285"/>
      <c r="R64" s="285"/>
      <c r="S64" s="285"/>
    </row>
    <row r="65" spans="1:19" s="114" customFormat="1" x14ac:dyDescent="0.25">
      <c r="A65" s="285"/>
      <c r="B65" s="206"/>
      <c r="C65" s="206"/>
      <c r="D65" s="285"/>
      <c r="E65" s="304"/>
      <c r="F65" s="285"/>
      <c r="G65" s="285"/>
      <c r="H65" s="285"/>
      <c r="I65" s="285"/>
      <c r="J65" s="305"/>
      <c r="K65" s="288"/>
      <c r="L65" s="296"/>
      <c r="M65" s="206"/>
      <c r="N65" s="285"/>
      <c r="O65" s="285"/>
      <c r="P65" s="285"/>
      <c r="Q65" s="285"/>
      <c r="R65" s="285"/>
      <c r="S65" s="285"/>
    </row>
    <row r="66" spans="1:19" s="114" customFormat="1" x14ac:dyDescent="0.25">
      <c r="A66" s="283"/>
      <c r="B66" s="289"/>
      <c r="C66" s="289"/>
      <c r="D66" s="283"/>
      <c r="E66" s="311"/>
      <c r="F66" s="283"/>
      <c r="G66" s="290"/>
      <c r="H66" s="283"/>
      <c r="I66" s="283"/>
      <c r="J66" s="291"/>
      <c r="K66" s="288"/>
      <c r="L66" s="285"/>
      <c r="M66" s="206"/>
      <c r="N66" s="285"/>
      <c r="O66" s="285"/>
      <c r="P66" s="285"/>
      <c r="Q66" s="285"/>
      <c r="R66" s="285"/>
      <c r="S66" s="285"/>
    </row>
    <row r="67" spans="1:19" s="114" customFormat="1" x14ac:dyDescent="0.25">
      <c r="A67" s="260"/>
      <c r="B67" s="206"/>
      <c r="C67" s="206"/>
      <c r="D67" s="260"/>
      <c r="E67" s="301"/>
      <c r="F67" s="260"/>
      <c r="G67" s="260"/>
      <c r="H67" s="260"/>
      <c r="I67" s="260"/>
      <c r="J67" s="303"/>
      <c r="K67" s="288"/>
      <c r="M67" s="312"/>
    </row>
    <row r="68" spans="1:19" s="114" customFormat="1" x14ac:dyDescent="0.25">
      <c r="A68" s="258"/>
      <c r="B68" s="240"/>
      <c r="C68" s="240"/>
      <c r="D68" s="258"/>
      <c r="E68" s="287"/>
      <c r="F68" s="258"/>
      <c r="G68" s="314"/>
      <c r="H68" s="258"/>
      <c r="I68" s="258"/>
      <c r="J68" s="310"/>
      <c r="K68" s="288"/>
      <c r="M68" s="312"/>
    </row>
    <row r="69" spans="1:19" s="114" customFormat="1" x14ac:dyDescent="0.25">
      <c r="A69" s="258"/>
      <c r="B69" s="240"/>
      <c r="C69" s="240"/>
      <c r="D69" s="258"/>
      <c r="E69" s="287"/>
      <c r="F69" s="258"/>
      <c r="G69" s="258"/>
      <c r="H69" s="258"/>
      <c r="I69" s="258"/>
      <c r="J69" s="310"/>
      <c r="K69" s="288"/>
      <c r="L69" s="296"/>
      <c r="M69" s="206"/>
      <c r="N69" s="285"/>
      <c r="O69" s="285"/>
      <c r="P69" s="285"/>
      <c r="Q69" s="285"/>
      <c r="R69" s="285"/>
      <c r="S69" s="285"/>
    </row>
    <row r="70" spans="1:19" s="114" customFormat="1" x14ac:dyDescent="0.25">
      <c r="A70" s="285"/>
      <c r="B70" s="206"/>
      <c r="C70" s="206"/>
      <c r="D70" s="285"/>
      <c r="E70" s="304"/>
      <c r="F70" s="285"/>
      <c r="G70" s="282"/>
      <c r="H70" s="285"/>
      <c r="I70" s="285"/>
      <c r="J70" s="305"/>
      <c r="K70" s="288"/>
      <c r="L70" s="296"/>
      <c r="M70" s="206"/>
      <c r="N70" s="285"/>
      <c r="O70" s="285"/>
      <c r="P70" s="285"/>
      <c r="Q70" s="285"/>
      <c r="R70" s="285"/>
      <c r="S70" s="285"/>
    </row>
    <row r="71" spans="1:19" s="299" customFormat="1" x14ac:dyDescent="0.25">
      <c r="A71" s="332"/>
      <c r="B71" s="332"/>
      <c r="C71" s="332"/>
      <c r="D71" s="332"/>
      <c r="E71" s="332"/>
      <c r="F71" s="332"/>
      <c r="G71" s="332"/>
      <c r="H71" s="332"/>
      <c r="I71" s="332"/>
      <c r="J71" s="332"/>
      <c r="K71" s="296"/>
      <c r="L71" s="114"/>
      <c r="M71" s="312"/>
      <c r="N71" s="114"/>
      <c r="O71" s="114"/>
      <c r="P71" s="114"/>
      <c r="Q71" s="114"/>
      <c r="R71" s="114"/>
      <c r="S71" s="114"/>
    </row>
    <row r="72" spans="1:19" s="299" customFormat="1" x14ac:dyDescent="0.25">
      <c r="A72" s="260"/>
      <c r="B72" s="289"/>
      <c r="C72" s="289"/>
      <c r="D72" s="260"/>
      <c r="E72" s="309"/>
      <c r="F72" s="260"/>
      <c r="G72" s="260"/>
      <c r="H72" s="260"/>
      <c r="I72" s="283"/>
      <c r="J72" s="303"/>
      <c r="K72" s="296"/>
      <c r="L72" s="114"/>
      <c r="M72" s="312"/>
      <c r="N72" s="114"/>
      <c r="O72" s="114"/>
      <c r="P72" s="114"/>
      <c r="Q72" s="114"/>
      <c r="R72" s="114"/>
      <c r="S72" s="114"/>
    </row>
    <row r="73" spans="1:19" s="299" customFormat="1" ht="63" customHeight="1" x14ac:dyDescent="0.25">
      <c r="A73" s="258"/>
      <c r="B73" s="300"/>
      <c r="C73" s="300"/>
      <c r="D73" s="258"/>
      <c r="E73" s="313"/>
      <c r="F73" s="258"/>
      <c r="G73" s="314"/>
      <c r="H73" s="258"/>
      <c r="I73" s="258"/>
      <c r="J73" s="310"/>
      <c r="K73" s="296"/>
      <c r="L73" s="114"/>
      <c r="M73" s="312"/>
      <c r="N73" s="114"/>
      <c r="O73" s="114"/>
      <c r="P73" s="114"/>
      <c r="Q73" s="114"/>
      <c r="R73" s="114"/>
      <c r="S73" s="114"/>
    </row>
    <row r="74" spans="1:19" s="114" customFormat="1" x14ac:dyDescent="0.25">
      <c r="A74" s="258"/>
      <c r="B74" s="240"/>
      <c r="C74" s="240"/>
      <c r="D74" s="258"/>
      <c r="E74" s="287"/>
      <c r="F74" s="258"/>
      <c r="G74" s="286"/>
      <c r="H74" s="258"/>
      <c r="I74" s="258"/>
      <c r="J74" s="310"/>
      <c r="K74" s="288"/>
      <c r="L74" s="296"/>
      <c r="M74" s="206"/>
      <c r="N74" s="285"/>
      <c r="O74" s="285"/>
      <c r="P74" s="285"/>
      <c r="Q74" s="285"/>
      <c r="R74" s="285"/>
      <c r="S74" s="285"/>
    </row>
    <row r="75" spans="1:19" s="114" customFormat="1" x14ac:dyDescent="0.25">
      <c r="A75" s="285"/>
      <c r="B75" s="206"/>
      <c r="C75" s="206"/>
      <c r="D75" s="285"/>
      <c r="E75" s="304"/>
      <c r="F75" s="285"/>
      <c r="G75" s="285"/>
      <c r="H75" s="285"/>
      <c r="I75" s="285"/>
      <c r="J75" s="305"/>
      <c r="K75" s="288"/>
      <c r="L75" s="296"/>
      <c r="M75" s="206"/>
      <c r="N75" s="285"/>
      <c r="O75" s="285"/>
      <c r="P75" s="285"/>
      <c r="Q75" s="285"/>
      <c r="R75" s="285"/>
      <c r="S75" s="285"/>
    </row>
    <row r="76" spans="1:19" s="114" customFormat="1" x14ac:dyDescent="0.25">
      <c r="A76" s="283"/>
      <c r="B76" s="289"/>
      <c r="C76" s="289"/>
      <c r="D76" s="283"/>
      <c r="E76" s="311"/>
      <c r="F76" s="283"/>
      <c r="G76" s="290"/>
      <c r="H76" s="283"/>
      <c r="I76" s="283"/>
      <c r="J76" s="291"/>
      <c r="K76" s="288"/>
      <c r="L76" s="285"/>
      <c r="M76" s="206"/>
      <c r="N76" s="285"/>
      <c r="O76" s="285"/>
      <c r="P76" s="285"/>
      <c r="Q76" s="285"/>
      <c r="R76" s="285"/>
      <c r="S76" s="285"/>
    </row>
    <row r="77" spans="1:19" s="299" customFormat="1" x14ac:dyDescent="0.25">
      <c r="A77" s="283"/>
      <c r="B77" s="206"/>
      <c r="C77" s="206"/>
      <c r="D77" s="283"/>
      <c r="E77" s="311"/>
      <c r="F77" s="283"/>
      <c r="G77" s="283"/>
      <c r="H77" s="283"/>
      <c r="I77" s="283"/>
      <c r="J77" s="291"/>
      <c r="K77" s="296"/>
      <c r="L77" s="114"/>
      <c r="M77" s="312"/>
      <c r="N77" s="114"/>
      <c r="O77" s="114"/>
      <c r="P77" s="114"/>
      <c r="Q77" s="114"/>
      <c r="R77" s="114"/>
      <c r="S77" s="114"/>
    </row>
    <row r="78" spans="1:19" s="114" customFormat="1" x14ac:dyDescent="0.25">
      <c r="A78" s="260"/>
      <c r="B78" s="300"/>
      <c r="C78" s="300"/>
      <c r="D78" s="260"/>
      <c r="E78" s="301"/>
      <c r="F78" s="260"/>
      <c r="G78" s="307"/>
      <c r="H78" s="260"/>
      <c r="I78" s="260"/>
      <c r="J78" s="303"/>
      <c r="K78" s="288"/>
      <c r="L78" s="296"/>
      <c r="M78" s="206"/>
      <c r="N78" s="285"/>
      <c r="O78" s="285"/>
      <c r="P78" s="285"/>
      <c r="Q78" s="285"/>
      <c r="R78" s="285"/>
      <c r="S78" s="285"/>
    </row>
    <row r="79" spans="1:19" s="114" customFormat="1" x14ac:dyDescent="0.25">
      <c r="A79" s="258"/>
      <c r="B79" s="240"/>
      <c r="C79" s="240"/>
      <c r="D79" s="258"/>
      <c r="E79" s="287"/>
      <c r="F79" s="258"/>
      <c r="G79" s="258"/>
      <c r="H79" s="258"/>
      <c r="I79" s="258"/>
      <c r="J79" s="310"/>
      <c r="K79" s="288"/>
      <c r="L79" s="296"/>
      <c r="M79" s="206"/>
      <c r="N79" s="285"/>
      <c r="O79" s="285"/>
      <c r="P79" s="285"/>
      <c r="Q79" s="285"/>
      <c r="R79" s="285"/>
      <c r="S79" s="285"/>
    </row>
    <row r="80" spans="1:19" s="114" customFormat="1" x14ac:dyDescent="0.25">
      <c r="A80" s="258"/>
      <c r="B80" s="240"/>
      <c r="C80" s="240"/>
      <c r="D80" s="258"/>
      <c r="E80" s="287"/>
      <c r="F80" s="258"/>
      <c r="G80" s="286"/>
      <c r="H80" s="258"/>
      <c r="I80" s="258"/>
      <c r="J80" s="310"/>
      <c r="K80" s="315"/>
      <c r="L80" s="316"/>
      <c r="M80" s="240"/>
      <c r="N80" s="258"/>
      <c r="O80" s="258"/>
      <c r="P80" s="258"/>
      <c r="Q80" s="258"/>
      <c r="R80" s="258"/>
      <c r="S80" s="258"/>
    </row>
    <row r="81" spans="1:19" s="295" customFormat="1" ht="15" customHeight="1" x14ac:dyDescent="0.25"/>
    <row r="82" spans="1:19" s="293" customFormat="1" x14ac:dyDescent="0.25">
      <c r="S82" s="294"/>
    </row>
    <row r="83" spans="1:19" s="293" customFormat="1" x14ac:dyDescent="0.25">
      <c r="S83" s="292"/>
    </row>
    <row r="84" spans="1:19" s="293" customFormat="1" x14ac:dyDescent="0.25">
      <c r="S84" s="292"/>
    </row>
    <row r="85" spans="1:19" s="293" customFormat="1" x14ac:dyDescent="0.25">
      <c r="S85" s="292"/>
    </row>
    <row r="86" spans="1:19" s="293" customFormat="1" x14ac:dyDescent="0.25">
      <c r="S86" s="292"/>
    </row>
    <row r="87" spans="1:19" s="293" customFormat="1" x14ac:dyDescent="0.25">
      <c r="S87" s="292"/>
    </row>
    <row r="88" spans="1:19" s="293" customFormat="1" x14ac:dyDescent="0.25">
      <c r="S88" s="292"/>
    </row>
    <row r="89" spans="1:19" x14ac:dyDescent="0.25">
      <c r="A89" s="284"/>
      <c r="B89" s="284"/>
      <c r="C89" s="284"/>
      <c r="D89" s="284"/>
      <c r="E89" s="284"/>
      <c r="F89" s="284"/>
      <c r="G89" s="284"/>
      <c r="H89" s="284"/>
      <c r="I89" s="284"/>
      <c r="J89" s="284"/>
    </row>
  </sheetData>
  <autoFilter ref="E1:E78" xr:uid="{00000000-0009-0000-0000-000001000000}"/>
  <mergeCells count="6">
    <mergeCell ref="A71:J71"/>
    <mergeCell ref="A46:J46"/>
    <mergeCell ref="A61:J61"/>
    <mergeCell ref="A28:J28"/>
    <mergeCell ref="A37:J37"/>
    <mergeCell ref="A56:J56"/>
  </mergeCells>
  <phoneticPr fontId="45" type="noConversion"/>
  <conditionalFormatting sqref="A77:A78 A67:A68 A1:A2 A20:A63 A71:A73 A89:A1048576">
    <cfRule type="duplicateValues" dxfId="20" priority="21"/>
  </conditionalFormatting>
  <conditionalFormatting sqref="A66">
    <cfRule type="duplicateValues" dxfId="19" priority="20"/>
  </conditionalFormatting>
  <conditionalFormatting sqref="A76">
    <cfRule type="duplicateValues" dxfId="18" priority="19"/>
  </conditionalFormatting>
  <conditionalFormatting sqref="A64:A65">
    <cfRule type="duplicateValues" dxfId="17" priority="18"/>
  </conditionalFormatting>
  <conditionalFormatting sqref="A74:A75">
    <cfRule type="duplicateValues" dxfId="16" priority="17"/>
  </conditionalFormatting>
  <conditionalFormatting sqref="A69:A70">
    <cfRule type="duplicateValues" dxfId="15" priority="16"/>
  </conditionalFormatting>
  <conditionalFormatting sqref="A79:A80">
    <cfRule type="duplicateValues" dxfId="14" priority="15"/>
  </conditionalFormatting>
  <conditionalFormatting sqref="A8">
    <cfRule type="duplicateValues" dxfId="11" priority="12"/>
  </conditionalFormatting>
  <conditionalFormatting sqref="A9">
    <cfRule type="duplicateValues" dxfId="10" priority="11"/>
  </conditionalFormatting>
  <conditionalFormatting sqref="A10">
    <cfRule type="duplicateValues" dxfId="9" priority="10"/>
  </conditionalFormatting>
  <conditionalFormatting sqref="A11">
    <cfRule type="duplicateValues" dxfId="8" priority="9"/>
  </conditionalFormatting>
  <conditionalFormatting sqref="A12">
    <cfRule type="duplicateValues" dxfId="7" priority="8"/>
  </conditionalFormatting>
  <conditionalFormatting sqref="A13">
    <cfRule type="duplicateValues" dxfId="6" priority="7"/>
  </conditionalFormatting>
  <conditionalFormatting sqref="A14">
    <cfRule type="duplicateValues" dxfId="5" priority="6"/>
  </conditionalFormatting>
  <conditionalFormatting sqref="A15">
    <cfRule type="duplicateValues" dxfId="4" priority="5"/>
  </conditionalFormatting>
  <conditionalFormatting sqref="A16">
    <cfRule type="duplicateValues" dxfId="3" priority="4"/>
  </conditionalFormatting>
  <conditionalFormatting sqref="A17">
    <cfRule type="duplicateValues" dxfId="2" priority="3"/>
  </conditionalFormatting>
  <conditionalFormatting sqref="A18">
    <cfRule type="duplicateValues" dxfId="1" priority="2"/>
  </conditionalFormatting>
  <conditionalFormatting sqref="A19">
    <cfRule type="duplicateValues" dxfId="0" priority="1"/>
  </conditionalFormatting>
  <pageMargins left="0.31496062992125984" right="0.11811023622047245" top="0.35433070866141736" bottom="0.15748031496062992" header="0.11811023622047245" footer="0.11811023622047245"/>
  <pageSetup paperSize="9" scale="2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25"/>
  <sheetViews>
    <sheetView showGridLines="0" tabSelected="1" view="pageBreakPreview" zoomScaleNormal="100" zoomScaleSheetLayoutView="100" workbookViewId="0">
      <selection activeCell="A52" sqref="A52:L52"/>
    </sheetView>
  </sheetViews>
  <sheetFormatPr defaultRowHeight="15" x14ac:dyDescent="0.25"/>
  <cols>
    <col min="4" max="4" width="9.28515625" customWidth="1"/>
    <col min="5" max="5" width="0" hidden="1" customWidth="1"/>
    <col min="6" max="6" width="10.140625" customWidth="1"/>
    <col min="11" max="11" width="10.85546875" customWidth="1"/>
    <col min="12" max="12" width="33.5703125" customWidth="1"/>
  </cols>
  <sheetData>
    <row r="1" spans="1:12" ht="85.5" customHeight="1" x14ac:dyDescent="0.25">
      <c r="A1" s="1"/>
      <c r="B1" s="2"/>
      <c r="C1" s="2"/>
      <c r="D1" s="2"/>
      <c r="E1" s="2"/>
      <c r="F1" s="2"/>
      <c r="G1" s="2"/>
      <c r="H1" s="2"/>
      <c r="I1" s="339" t="s">
        <v>0</v>
      </c>
      <c r="J1" s="339"/>
      <c r="K1" s="339"/>
      <c r="L1" s="339"/>
    </row>
    <row r="2" spans="1:12" x14ac:dyDescent="0.25">
      <c r="A2" s="340" t="s">
        <v>1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</row>
    <row r="3" spans="1:12" ht="27" customHeight="1" x14ac:dyDescent="0.25">
      <c r="A3" s="341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</row>
    <row r="4" spans="1:12" ht="9.75" customHeight="1" x14ac:dyDescent="0.25">
      <c r="A4" s="335" t="s">
        <v>2</v>
      </c>
      <c r="B4" s="335"/>
      <c r="C4" s="335"/>
      <c r="D4" s="335"/>
      <c r="E4" s="335"/>
      <c r="F4" s="335"/>
      <c r="G4" s="335"/>
      <c r="H4" s="335"/>
      <c r="I4" s="335"/>
      <c r="J4" s="335"/>
      <c r="K4" s="335"/>
      <c r="L4" s="335"/>
    </row>
    <row r="5" spans="1:12" x14ac:dyDescent="0.25">
      <c r="A5" s="340" t="s">
        <v>3</v>
      </c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0"/>
    </row>
    <row r="6" spans="1:12" ht="27" customHeight="1" x14ac:dyDescent="0.25">
      <c r="A6" s="336" t="str">
        <f>Инфо!B3</f>
        <v>ООО «КАМПУС» РБ, г. Уфа, ул. Кирова, д.15,</v>
      </c>
      <c r="B6" s="336"/>
      <c r="C6" s="336"/>
      <c r="D6" s="336"/>
      <c r="E6" s="336"/>
      <c r="F6" s="336"/>
      <c r="G6" s="336"/>
      <c r="H6" s="336"/>
      <c r="I6" s="336"/>
      <c r="J6" s="336"/>
      <c r="K6" s="336"/>
      <c r="L6" s="336"/>
    </row>
    <row r="7" spans="1:12" ht="12" customHeight="1" x14ac:dyDescent="0.25">
      <c r="A7" s="335" t="s">
        <v>4</v>
      </c>
      <c r="B7" s="335"/>
      <c r="C7" s="335"/>
      <c r="D7" s="335"/>
      <c r="E7" s="335"/>
      <c r="F7" s="335"/>
      <c r="G7" s="335"/>
      <c r="H7" s="335"/>
      <c r="I7" s="335"/>
      <c r="J7" s="335"/>
      <c r="K7" s="335"/>
      <c r="L7" s="335"/>
    </row>
    <row r="8" spans="1:12" ht="26.45" customHeight="1" x14ac:dyDescent="0.25">
      <c r="A8" s="336" t="str">
        <f>Инфо!B4</f>
        <v xml:space="preserve"> ИНН 0274969171, КПП 027401001, ОГРН 1210200051412</v>
      </c>
      <c r="B8" s="336"/>
      <c r="C8" s="336"/>
      <c r="D8" s="336"/>
      <c r="E8" s="336"/>
      <c r="F8" s="336"/>
      <c r="G8" s="336"/>
      <c r="H8" s="336"/>
      <c r="I8" s="336"/>
      <c r="J8" s="336"/>
      <c r="K8" s="336"/>
      <c r="L8" s="336"/>
    </row>
    <row r="9" spans="1:12" ht="11.25" customHeight="1" x14ac:dyDescent="0.25">
      <c r="A9" s="335" t="s">
        <v>5</v>
      </c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</row>
    <row r="10" spans="1:12" x14ac:dyDescent="0.25">
      <c r="A10" s="337" t="s">
        <v>6</v>
      </c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</row>
    <row r="11" spans="1:12" x14ac:dyDescent="0.25">
      <c r="A11" s="336" t="str">
        <f>Инфо!B5</f>
        <v xml:space="preserve">ООО «УРАЛКОМ» РБ, г. Уфа, ул. Цюрупы, д. 44/1, этаж 2, офис 1, </v>
      </c>
      <c r="B11" s="336"/>
      <c r="C11" s="336"/>
      <c r="D11" s="336"/>
      <c r="E11" s="336"/>
      <c r="F11" s="336"/>
      <c r="G11" s="336"/>
      <c r="H11" s="336"/>
      <c r="I11" s="336"/>
      <c r="J11" s="336"/>
      <c r="K11" s="336"/>
      <c r="L11" s="336"/>
    </row>
    <row r="12" spans="1:12" x14ac:dyDescent="0.25">
      <c r="A12" s="338" t="str">
        <f>Инфо!B6</f>
        <v>ИНН 0276158651, КПП 027401001,</v>
      </c>
      <c r="B12" s="338"/>
      <c r="C12" s="338"/>
      <c r="D12" s="338"/>
      <c r="E12" s="338"/>
      <c r="F12" s="338"/>
      <c r="G12" s="338"/>
      <c r="H12" s="338"/>
      <c r="I12" s="338"/>
      <c r="J12" s="338"/>
      <c r="K12" s="338"/>
      <c r="L12" s="338"/>
    </row>
    <row r="13" spans="1:12" ht="10.5" customHeight="1" x14ac:dyDescent="0.25">
      <c r="A13" s="343" t="s">
        <v>4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3"/>
    </row>
    <row r="14" spans="1:12" x14ac:dyDescent="0.25">
      <c r="A14" s="342" t="str">
        <f>Инфо!B7</f>
        <v xml:space="preserve"> тел.+7(347)224-94-94</v>
      </c>
      <c r="B14" s="342"/>
      <c r="C14" s="342"/>
      <c r="D14" s="342"/>
      <c r="E14" s="342"/>
      <c r="F14" s="342"/>
      <c r="G14" s="342"/>
      <c r="H14" s="342"/>
      <c r="I14" s="342"/>
      <c r="J14" s="342"/>
      <c r="K14" s="342"/>
      <c r="L14" s="342"/>
    </row>
    <row r="15" spans="1:12" ht="11.25" customHeight="1" x14ac:dyDescent="0.25">
      <c r="A15" s="343" t="s">
        <v>7</v>
      </c>
      <c r="B15" s="343"/>
      <c r="C15" s="343"/>
      <c r="D15" s="343"/>
      <c r="E15" s="343"/>
      <c r="F15" s="343"/>
      <c r="G15" s="343"/>
      <c r="H15" s="343"/>
      <c r="I15" s="343"/>
      <c r="J15" s="343"/>
      <c r="K15" s="343"/>
      <c r="L15" s="343"/>
    </row>
    <row r="16" spans="1:12" x14ac:dyDescent="0.25">
      <c r="A16" s="86" t="s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1"/>
    </row>
    <row r="17" spans="1:12" ht="15" customHeight="1" x14ac:dyDescent="0.25">
      <c r="A17" s="342" t="str">
        <f>Инфо!B8</f>
        <v>ООО "РубежСтрой" ОГРН 1067444028189, ИНН 7444049508, КПП 745501001, ОКПО 94832764</v>
      </c>
      <c r="B17" s="342"/>
      <c r="C17" s="342"/>
      <c r="D17" s="342"/>
      <c r="E17" s="342"/>
      <c r="F17" s="342"/>
      <c r="G17" s="342"/>
      <c r="H17" s="342"/>
      <c r="I17" s="342"/>
      <c r="J17" s="342"/>
      <c r="K17" s="342"/>
      <c r="L17" s="342"/>
    </row>
    <row r="18" spans="1:12" ht="19.5" customHeight="1" x14ac:dyDescent="0.25">
      <c r="A18" s="338" t="str">
        <f>Инфо!B9</f>
        <v>455021, Челябинская область, г. о. Магнитогорский, г. Магнитогорск, Сиреневый проезд, д. 27, кв. 179</v>
      </c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</row>
    <row r="19" spans="1:12" ht="12" customHeight="1" x14ac:dyDescent="0.25">
      <c r="A19" s="343" t="s">
        <v>4</v>
      </c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</row>
    <row r="20" spans="1:12" x14ac:dyDescent="0.25">
      <c r="A20" s="342" t="str">
        <f>Инфо!B10</f>
        <v>Является членом ССРО «РЕПРА» Рег.№СРО-П-144-03032010</v>
      </c>
      <c r="B20" s="342"/>
      <c r="C20" s="342"/>
      <c r="D20" s="342"/>
      <c r="E20" s="342"/>
      <c r="F20" s="342"/>
      <c r="G20" s="342"/>
      <c r="H20" s="342"/>
      <c r="I20" s="342"/>
      <c r="J20" s="342"/>
      <c r="K20" s="342"/>
      <c r="L20" s="342"/>
    </row>
    <row r="21" spans="1:12" ht="11.25" customHeight="1" x14ac:dyDescent="0.25">
      <c r="A21" s="343" t="s">
        <v>7</v>
      </c>
      <c r="B21" s="343"/>
      <c r="C21" s="343"/>
      <c r="D21" s="343"/>
      <c r="E21" s="343"/>
      <c r="F21" s="343"/>
      <c r="G21" s="343"/>
      <c r="H21" s="343"/>
      <c r="I21" s="343"/>
      <c r="J21" s="343"/>
      <c r="K21" s="343"/>
      <c r="L21" s="343"/>
    </row>
    <row r="22" spans="1:1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1"/>
    </row>
    <row r="23" spans="1:12" x14ac:dyDescent="0.25">
      <c r="A23" s="344" t="s">
        <v>9</v>
      </c>
      <c r="B23" s="344"/>
      <c r="C23" s="344"/>
      <c r="D23" s="344"/>
      <c r="E23" s="344"/>
      <c r="F23" s="344"/>
      <c r="G23" s="344"/>
      <c r="H23" s="344"/>
      <c r="I23" s="344"/>
      <c r="J23" s="344"/>
      <c r="K23" s="344"/>
      <c r="L23" s="344"/>
    </row>
    <row r="24" spans="1:12" x14ac:dyDescent="0.25">
      <c r="A24" s="344" t="s">
        <v>10</v>
      </c>
      <c r="B24" s="344"/>
      <c r="C24" s="344"/>
      <c r="D24" s="344"/>
      <c r="E24" s="344"/>
      <c r="F24" s="344"/>
      <c r="G24" s="344"/>
      <c r="H24" s="344"/>
      <c r="I24" s="344"/>
      <c r="J24" s="344"/>
      <c r="K24" s="344"/>
      <c r="L24" s="344"/>
    </row>
    <row r="25" spans="1:12" x14ac:dyDescent="0.25">
      <c r="A25" s="348" t="str">
        <f>НомерАкта</f>
        <v>1.1-ИС</v>
      </c>
      <c r="B25" s="348"/>
      <c r="C25" s="1"/>
      <c r="D25" s="1"/>
      <c r="E25" s="1"/>
      <c r="F25" s="1"/>
      <c r="G25" s="1"/>
      <c r="H25" s="1"/>
      <c r="I25" s="1"/>
      <c r="J25" s="1"/>
      <c r="K25" s="345">
        <f>ДатаЗавершения</f>
        <v>45281</v>
      </c>
      <c r="L25" s="346"/>
    </row>
    <row r="26" spans="1:12" x14ac:dyDescent="0.25">
      <c r="A26" s="62"/>
      <c r="B26" s="63"/>
      <c r="C26" s="1"/>
      <c r="D26" s="1"/>
      <c r="E26" s="1"/>
      <c r="F26" s="1"/>
      <c r="G26" s="1"/>
      <c r="H26" s="1"/>
      <c r="I26" s="1"/>
      <c r="J26" s="1"/>
      <c r="K26" s="347" t="s">
        <v>11</v>
      </c>
      <c r="L26" s="347"/>
    </row>
    <row r="27" spans="1:12" x14ac:dyDescent="0.25">
      <c r="A27" s="349" t="s">
        <v>76</v>
      </c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</row>
    <row r="28" spans="1:12" ht="15.75" x14ac:dyDescent="0.25">
      <c r="A28" s="349" t="s">
        <v>148</v>
      </c>
      <c r="B28" s="349"/>
      <c r="C28" s="349"/>
      <c r="D28" s="353" t="str">
        <f>Инфо!B11</f>
        <v>Заместитель директора ООО «Кампус» Мухамедьянов Р.Р.</v>
      </c>
      <c r="E28" s="353"/>
      <c r="F28" s="353"/>
      <c r="G28" s="353"/>
      <c r="H28" s="353"/>
      <c r="I28" s="353"/>
      <c r="J28" s="353"/>
      <c r="K28" s="353"/>
      <c r="L28" s="353"/>
    </row>
    <row r="29" spans="1:12" ht="17.25" customHeight="1" x14ac:dyDescent="0.25">
      <c r="A29" s="350" t="s">
        <v>12</v>
      </c>
      <c r="B29" s="350"/>
      <c r="C29" s="350"/>
      <c r="D29" s="350"/>
      <c r="E29" s="350"/>
      <c r="F29" s="350"/>
      <c r="G29" s="350"/>
      <c r="H29" s="350"/>
      <c r="I29" s="350"/>
      <c r="J29" s="350"/>
      <c r="K29" s="350"/>
      <c r="L29" s="350"/>
    </row>
    <row r="30" spans="1:12" ht="15.75" x14ac:dyDescent="0.25">
      <c r="A30" s="351" t="str">
        <f>Инфо!B12</f>
        <v xml:space="preserve">  Приказ №6  от 19.04.2023г.</v>
      </c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</row>
    <row r="31" spans="1:12" ht="10.5" customHeight="1" x14ac:dyDescent="0.25">
      <c r="A31" s="335" t="s">
        <v>144</v>
      </c>
      <c r="B31" s="335"/>
      <c r="C31" s="335"/>
      <c r="D31" s="335"/>
      <c r="E31" s="335"/>
      <c r="F31" s="335"/>
      <c r="G31" s="335"/>
      <c r="H31" s="335"/>
      <c r="I31" s="335"/>
      <c r="J31" s="335"/>
      <c r="K31" s="335"/>
      <c r="L31" s="335"/>
    </row>
    <row r="32" spans="1:12" x14ac:dyDescent="0.25">
      <c r="A32" s="352"/>
      <c r="B32" s="352"/>
      <c r="C32" s="352"/>
      <c r="D32" s="352"/>
      <c r="E32" s="352"/>
      <c r="F32" s="352"/>
      <c r="G32" s="352"/>
      <c r="H32" s="352"/>
      <c r="I32" s="352"/>
      <c r="J32" s="352"/>
      <c r="K32" s="352"/>
      <c r="L32" s="352"/>
    </row>
    <row r="33" spans="1:12" ht="10.5" customHeight="1" x14ac:dyDescent="0.25">
      <c r="A33" s="335" t="s">
        <v>13</v>
      </c>
      <c r="B33" s="335"/>
      <c r="C33" s="335"/>
      <c r="D33" s="335"/>
      <c r="E33" s="335"/>
      <c r="F33" s="335"/>
      <c r="G33" s="335"/>
      <c r="H33" s="335"/>
      <c r="I33" s="335"/>
      <c r="J33" s="335"/>
      <c r="K33" s="335"/>
      <c r="L33" s="335"/>
    </row>
    <row r="34" spans="1:12" ht="10.5" customHeight="1" x14ac:dyDescent="0.25">
      <c r="A34" s="97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</row>
    <row r="35" spans="1:12" x14ac:dyDescent="0.25">
      <c r="A35" s="337" t="s">
        <v>14</v>
      </c>
      <c r="B35" s="337"/>
      <c r="C35" s="337"/>
      <c r="D35" s="337"/>
      <c r="E35" s="337"/>
      <c r="F35" s="337"/>
      <c r="G35" s="337"/>
      <c r="H35" s="337"/>
      <c r="I35" s="337"/>
      <c r="J35" s="337"/>
      <c r="K35" s="337"/>
      <c r="L35" s="337"/>
    </row>
    <row r="36" spans="1:12" ht="13.5" customHeight="1" x14ac:dyDescent="0.25">
      <c r="A36" s="357" t="str">
        <f>Инфо!B14</f>
        <v>Начальник строительного участка ООО «Уралком» Аюпов С.Ф.  Приказ №4 от 26.04.2023г.</v>
      </c>
      <c r="B36" s="357"/>
      <c r="C36" s="357"/>
      <c r="D36" s="357"/>
      <c r="E36" s="357"/>
      <c r="F36" s="357"/>
      <c r="G36" s="357"/>
      <c r="H36" s="357"/>
      <c r="I36" s="357"/>
      <c r="J36" s="357"/>
      <c r="K36" s="357"/>
      <c r="L36" s="357"/>
    </row>
    <row r="37" spans="1:12" ht="11.25" customHeight="1" x14ac:dyDescent="0.25">
      <c r="A37" s="343" t="s">
        <v>15</v>
      </c>
      <c r="B37" s="343"/>
      <c r="C37" s="343"/>
      <c r="D37" s="343"/>
      <c r="E37" s="343"/>
      <c r="F37" s="343"/>
      <c r="G37" s="343"/>
      <c r="H37" s="343"/>
      <c r="I37" s="343"/>
      <c r="J37" s="343"/>
      <c r="K37" s="343"/>
      <c r="L37" s="343"/>
    </row>
    <row r="38" spans="1:12" x14ac:dyDescent="0.25">
      <c r="A38" s="359" t="s">
        <v>77</v>
      </c>
      <c r="B38" s="360"/>
      <c r="C38" s="360"/>
      <c r="D38" s="360"/>
      <c r="E38" s="360"/>
      <c r="F38" s="360"/>
      <c r="G38" s="360"/>
      <c r="H38" s="360"/>
      <c r="I38" s="360"/>
      <c r="J38" s="360"/>
      <c r="K38" s="360"/>
      <c r="L38" s="360"/>
    </row>
    <row r="39" spans="1:12" ht="15.75" x14ac:dyDescent="0.25">
      <c r="A39" s="354" t="str">
        <f>Инфо!B16</f>
        <v xml:space="preserve">Инженер производственного отдела КПРБ «РУКС» Ишмухаметов А.И.  
</v>
      </c>
      <c r="B39" s="354"/>
      <c r="C39" s="354"/>
      <c r="D39" s="354"/>
      <c r="E39" s="354"/>
      <c r="F39" s="354"/>
      <c r="G39" s="354"/>
      <c r="H39" s="354"/>
      <c r="I39" s="354"/>
      <c r="J39" s="354"/>
      <c r="K39" s="354"/>
      <c r="L39" s="354"/>
    </row>
    <row r="40" spans="1:12" ht="9.75" customHeight="1" x14ac:dyDescent="0.25">
      <c r="A40" s="350" t="s">
        <v>16</v>
      </c>
      <c r="B40" s="350"/>
      <c r="C40" s="350"/>
      <c r="D40" s="350"/>
      <c r="E40" s="350"/>
      <c r="F40" s="350"/>
      <c r="G40" s="350"/>
      <c r="H40" s="350"/>
      <c r="I40" s="350"/>
      <c r="J40" s="350"/>
      <c r="K40" s="350"/>
      <c r="L40" s="350"/>
    </row>
    <row r="41" spans="1:12" ht="15.75" x14ac:dyDescent="0.25">
      <c r="A41" s="357" t="str">
        <f>Инфо!B17</f>
        <v>Приказ №17 от 07.09.2023г, С-02-133513.</v>
      </c>
      <c r="B41" s="357"/>
      <c r="C41" s="357"/>
      <c r="D41" s="357"/>
      <c r="E41" s="357"/>
      <c r="F41" s="357"/>
      <c r="G41" s="357"/>
      <c r="H41" s="357"/>
      <c r="I41" s="357"/>
      <c r="J41" s="357"/>
      <c r="K41" s="357"/>
      <c r="L41" s="357"/>
    </row>
    <row r="42" spans="1:12" ht="9.75" customHeight="1" x14ac:dyDescent="0.25">
      <c r="A42" s="335" t="s">
        <v>17</v>
      </c>
      <c r="B42" s="335"/>
      <c r="C42" s="335"/>
      <c r="D42" s="335"/>
      <c r="E42" s="335"/>
      <c r="F42" s="335"/>
      <c r="G42" s="335"/>
      <c r="H42" s="335"/>
      <c r="I42" s="335"/>
      <c r="J42" s="335"/>
      <c r="K42" s="335"/>
      <c r="L42" s="335"/>
    </row>
    <row r="43" spans="1:12" x14ac:dyDescent="0.25">
      <c r="A43" s="355" t="s">
        <v>8</v>
      </c>
      <c r="B43" s="356"/>
      <c r="C43" s="356"/>
      <c r="D43" s="356"/>
      <c r="E43" s="356"/>
      <c r="F43" s="356"/>
      <c r="G43" s="356"/>
      <c r="H43" s="356"/>
      <c r="I43" s="356"/>
      <c r="J43" s="356"/>
      <c r="K43" s="356"/>
      <c r="L43" s="356"/>
    </row>
    <row r="44" spans="1:12" ht="15.75" x14ac:dyDescent="0.25">
      <c r="A44" s="357"/>
      <c r="B44" s="357"/>
      <c r="C44" s="357"/>
      <c r="D44" s="357"/>
      <c r="E44" s="357"/>
      <c r="F44" s="357"/>
      <c r="G44" s="357"/>
      <c r="H44" s="357"/>
      <c r="I44" s="357"/>
      <c r="J44" s="357"/>
      <c r="K44" s="357"/>
      <c r="L44" s="357"/>
    </row>
    <row r="45" spans="1:12" x14ac:dyDescent="0.25">
      <c r="A45" s="350" t="s">
        <v>16</v>
      </c>
      <c r="B45" s="350"/>
      <c r="C45" s="350"/>
      <c r="D45" s="350"/>
      <c r="E45" s="350"/>
      <c r="F45" s="350"/>
      <c r="G45" s="350"/>
      <c r="H45" s="350"/>
      <c r="I45" s="350"/>
      <c r="J45" s="350"/>
      <c r="K45" s="350"/>
      <c r="L45" s="350"/>
    </row>
    <row r="46" spans="1:12" x14ac:dyDescent="0.25">
      <c r="A46" s="358"/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</row>
    <row r="47" spans="1:12" x14ac:dyDescent="0.25">
      <c r="A47" s="350" t="s">
        <v>17</v>
      </c>
      <c r="B47" s="350"/>
      <c r="C47" s="350"/>
      <c r="D47" s="350"/>
      <c r="E47" s="350"/>
      <c r="F47" s="350"/>
      <c r="G47" s="350"/>
      <c r="H47" s="350"/>
      <c r="I47" s="350"/>
      <c r="J47" s="350"/>
      <c r="K47" s="350"/>
      <c r="L47" s="350"/>
    </row>
    <row r="48" spans="1:12" x14ac:dyDescent="0.25">
      <c r="A48" s="366" t="s">
        <v>18</v>
      </c>
      <c r="B48" s="366"/>
      <c r="C48" s="366"/>
      <c r="D48" s="366"/>
      <c r="E48" s="366"/>
      <c r="F48" s="366"/>
      <c r="G48" s="366"/>
      <c r="H48" s="366"/>
      <c r="I48" s="366"/>
      <c r="J48" s="366"/>
      <c r="K48" s="366"/>
      <c r="L48" s="366"/>
    </row>
    <row r="49" spans="1:12" ht="15.75" x14ac:dyDescent="0.25">
      <c r="A49" s="357" t="str">
        <f>Инфо!B22</f>
        <v>Главный инженер проекта ООО «Архитектурное бюро» Голощапов А.Е. Приказ №02/22 от 21.02.2022г.</v>
      </c>
      <c r="B49" s="357"/>
      <c r="C49" s="357"/>
      <c r="D49" s="357"/>
      <c r="E49" s="357"/>
      <c r="F49" s="357"/>
      <c r="G49" s="357"/>
      <c r="H49" s="357"/>
      <c r="I49" s="357"/>
      <c r="J49" s="357"/>
      <c r="K49" s="357"/>
      <c r="L49" s="357"/>
    </row>
    <row r="50" spans="1:12" x14ac:dyDescent="0.25">
      <c r="A50" s="343" t="s">
        <v>19</v>
      </c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</row>
    <row r="51" spans="1:12" ht="9.75" customHeight="1" x14ac:dyDescent="0.25">
      <c r="A51" s="367"/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</row>
    <row r="52" spans="1:12" x14ac:dyDescent="0.25">
      <c r="A52" s="343" t="s">
        <v>20</v>
      </c>
      <c r="B52" s="343"/>
      <c r="C52" s="343"/>
      <c r="D52" s="343"/>
      <c r="E52" s="343"/>
      <c r="F52" s="343"/>
      <c r="G52" s="343"/>
      <c r="H52" s="343"/>
      <c r="I52" s="343"/>
      <c r="J52" s="343"/>
      <c r="K52" s="343"/>
      <c r="L52" s="343"/>
    </row>
    <row r="53" spans="1:12" x14ac:dyDescent="0.25">
      <c r="A53" s="337" t="s">
        <v>21</v>
      </c>
      <c r="B53" s="337"/>
      <c r="C53" s="337"/>
      <c r="D53" s="337"/>
      <c r="E53" s="337"/>
      <c r="F53" s="337"/>
      <c r="G53" s="337"/>
      <c r="H53" s="337"/>
      <c r="I53" s="337"/>
      <c r="J53" s="337"/>
      <c r="K53" s="337"/>
      <c r="L53" s="337"/>
    </row>
    <row r="54" spans="1:12" ht="15.75" x14ac:dyDescent="0.25">
      <c r="A54" s="357" t="str">
        <f>Инфо!B28</f>
        <v xml:space="preserve">Руководитель группы строительного контроля ООО «Уралком» Базяев А.И.  </v>
      </c>
      <c r="B54" s="357"/>
      <c r="C54" s="357"/>
      <c r="D54" s="357"/>
      <c r="E54" s="357"/>
      <c r="F54" s="357"/>
      <c r="G54" s="357"/>
      <c r="H54" s="357"/>
      <c r="I54" s="357"/>
      <c r="J54" s="357"/>
      <c r="K54" s="357"/>
      <c r="L54" s="357"/>
    </row>
    <row r="55" spans="1:12" x14ac:dyDescent="0.25">
      <c r="A55" s="361" t="s">
        <v>22</v>
      </c>
      <c r="B55" s="361"/>
      <c r="C55" s="361"/>
      <c r="D55" s="361"/>
      <c r="E55" s="361"/>
      <c r="F55" s="361"/>
      <c r="G55" s="361"/>
      <c r="H55" s="361"/>
      <c r="I55" s="361"/>
      <c r="J55" s="361"/>
      <c r="K55" s="361"/>
      <c r="L55" s="361"/>
    </row>
    <row r="56" spans="1:12" x14ac:dyDescent="0.25">
      <c r="A56" s="362" t="str">
        <f>Инфо!B26 &amp; " " &amp;Инфо!B27</f>
        <v xml:space="preserve"> </v>
      </c>
      <c r="B56" s="362"/>
      <c r="C56" s="362"/>
      <c r="D56" s="362"/>
      <c r="E56" s="362"/>
      <c r="F56" s="362"/>
      <c r="G56" s="362"/>
      <c r="H56" s="362"/>
      <c r="I56" s="362"/>
      <c r="J56" s="362"/>
      <c r="K56" s="362"/>
      <c r="L56" s="362"/>
    </row>
    <row r="57" spans="1:12" x14ac:dyDescent="0.25">
      <c r="A57" s="361" t="s">
        <v>22</v>
      </c>
      <c r="B57" s="361"/>
      <c r="C57" s="361"/>
      <c r="D57" s="361"/>
      <c r="E57" s="361"/>
      <c r="F57" s="361"/>
      <c r="G57" s="361"/>
      <c r="H57" s="361"/>
      <c r="I57" s="361"/>
      <c r="J57" s="361"/>
      <c r="K57" s="361"/>
      <c r="L57" s="361"/>
    </row>
    <row r="58" spans="1:12" x14ac:dyDescent="0.25">
      <c r="A58" s="363"/>
      <c r="B58" s="363"/>
      <c r="C58" s="363"/>
      <c r="D58" s="363"/>
      <c r="E58" s="363"/>
      <c r="F58" s="363"/>
      <c r="G58" s="363"/>
      <c r="H58" s="363"/>
      <c r="I58" s="363"/>
      <c r="J58" s="363"/>
      <c r="K58" s="363"/>
      <c r="L58" s="363"/>
    </row>
    <row r="59" spans="1:12" x14ac:dyDescent="0.25">
      <c r="A59" s="361" t="s">
        <v>22</v>
      </c>
      <c r="B59" s="361"/>
      <c r="C59" s="361"/>
      <c r="D59" s="361"/>
      <c r="E59" s="361"/>
      <c r="F59" s="361"/>
      <c r="G59" s="361"/>
      <c r="H59" s="361"/>
      <c r="I59" s="361"/>
      <c r="J59" s="361"/>
      <c r="K59" s="361"/>
      <c r="L59" s="361"/>
    </row>
    <row r="60" spans="1:12" ht="15.75" x14ac:dyDescent="0.25">
      <c r="A60" s="364" t="s">
        <v>78</v>
      </c>
      <c r="B60" s="364"/>
      <c r="C60" s="364"/>
      <c r="D60" s="364"/>
      <c r="E60" s="5"/>
      <c r="F60" s="365" t="str">
        <f>Инфо!B30</f>
        <v>ООО «Медиасервис»</v>
      </c>
      <c r="G60" s="365"/>
      <c r="H60" s="365"/>
      <c r="I60" s="365"/>
      <c r="J60" s="365"/>
      <c r="K60" s="365"/>
      <c r="L60" s="365"/>
    </row>
    <row r="61" spans="1:12" x14ac:dyDescent="0.25">
      <c r="A61" s="375" t="s">
        <v>23</v>
      </c>
      <c r="B61" s="375"/>
      <c r="C61" s="375"/>
      <c r="D61" s="375"/>
      <c r="E61" s="375"/>
      <c r="F61" s="375"/>
      <c r="G61" s="375"/>
      <c r="H61" s="375"/>
      <c r="I61" s="375"/>
      <c r="J61" s="375"/>
      <c r="K61" s="375"/>
      <c r="L61" s="375"/>
    </row>
    <row r="62" spans="1:12" x14ac:dyDescent="0.25">
      <c r="A62" s="376" t="s">
        <v>24</v>
      </c>
      <c r="B62" s="376"/>
      <c r="C62" s="376"/>
      <c r="D62" s="376"/>
      <c r="E62" s="376"/>
      <c r="F62" s="376"/>
      <c r="G62" s="376"/>
      <c r="H62" s="376"/>
      <c r="I62" s="376"/>
      <c r="J62" s="376"/>
      <c r="K62" s="376"/>
      <c r="L62" s="376"/>
    </row>
    <row r="63" spans="1:12" ht="15.75" x14ac:dyDescent="0.25">
      <c r="A63" s="377" t="s">
        <v>25</v>
      </c>
      <c r="B63" s="377"/>
      <c r="C63" s="377"/>
      <c r="D63" s="377"/>
      <c r="E63" s="377"/>
      <c r="F63" s="377"/>
      <c r="G63" s="377"/>
      <c r="H63" s="377"/>
      <c r="I63" s="365" t="str">
        <f>Раздел</f>
        <v xml:space="preserve">Монтаж </v>
      </c>
      <c r="J63" s="365"/>
      <c r="K63" s="365"/>
      <c r="L63" s="365"/>
    </row>
    <row r="64" spans="1:12" ht="20.25" customHeight="1" x14ac:dyDescent="0.25">
      <c r="A64" s="368" t="str">
        <f>ВыпРаботы</f>
        <v>каркаса светодиодного экрана AET  NX P1.875 (1 шт.)</v>
      </c>
      <c r="B64" s="368"/>
      <c r="C64" s="368"/>
      <c r="D64" s="368"/>
      <c r="E64" s="368"/>
      <c r="F64" s="368"/>
      <c r="G64" s="368"/>
      <c r="H64" s="368"/>
      <c r="I64" s="368"/>
      <c r="J64" s="368"/>
      <c r="K64" s="368"/>
      <c r="L64" s="368"/>
    </row>
    <row r="65" spans="1:12" x14ac:dyDescent="0.25">
      <c r="A65" s="343" t="s">
        <v>26</v>
      </c>
      <c r="B65" s="343"/>
      <c r="C65" s="343"/>
      <c r="D65" s="343"/>
      <c r="E65" s="343"/>
      <c r="F65" s="343"/>
      <c r="G65" s="343"/>
      <c r="H65" s="343"/>
      <c r="I65" s="343"/>
      <c r="J65" s="343"/>
      <c r="K65" s="343"/>
      <c r="L65" s="343"/>
    </row>
    <row r="66" spans="1:12" ht="18.75" customHeight="1" x14ac:dyDescent="0.25">
      <c r="A66" s="369" t="s">
        <v>27</v>
      </c>
      <c r="B66" s="369"/>
      <c r="C66" s="369"/>
      <c r="D66" s="369"/>
      <c r="E66" s="369"/>
      <c r="F66" s="369"/>
      <c r="G66" s="370" t="str">
        <f>Проект</f>
        <v>М05.23.001-ИОС5.5-ММ-ПРО2-ГЧ</v>
      </c>
      <c r="H66" s="371"/>
      <c r="I66" s="371"/>
      <c r="J66" s="371"/>
      <c r="K66" s="371"/>
      <c r="L66" s="371"/>
    </row>
    <row r="67" spans="1:12" x14ac:dyDescent="0.25">
      <c r="A67" s="372" t="s">
        <v>28</v>
      </c>
      <c r="B67" s="372"/>
      <c r="C67" s="372"/>
      <c r="D67" s="372"/>
      <c r="E67" s="372"/>
      <c r="F67" s="372"/>
      <c r="G67" s="373"/>
      <c r="H67" s="373"/>
      <c r="I67" s="373"/>
      <c r="J67" s="373"/>
      <c r="K67" s="373"/>
      <c r="L67" s="373"/>
    </row>
    <row r="68" spans="1:12" ht="15" customHeight="1" x14ac:dyDescent="0.25">
      <c r="A68" s="353" t="str">
        <f>"АО ""Гипрониигаз"""&amp; Письма</f>
        <v>АО "Гипрониигаз"</v>
      </c>
      <c r="B68" s="353"/>
      <c r="C68" s="353"/>
      <c r="D68" s="353"/>
      <c r="E68" s="353"/>
      <c r="F68" s="353"/>
      <c r="G68" s="353"/>
      <c r="H68" s="353"/>
      <c r="I68" s="353"/>
      <c r="J68" s="353"/>
      <c r="K68" s="353"/>
      <c r="L68" s="353"/>
    </row>
    <row r="69" spans="1:12" x14ac:dyDescent="0.25">
      <c r="A69" s="343" t="s">
        <v>29</v>
      </c>
      <c r="B69" s="343"/>
      <c r="C69" s="343"/>
      <c r="D69" s="343"/>
      <c r="E69" s="343"/>
      <c r="F69" s="343"/>
      <c r="G69" s="343"/>
      <c r="H69" s="343"/>
      <c r="I69" s="343"/>
      <c r="J69" s="343"/>
      <c r="K69" s="343"/>
      <c r="L69" s="343"/>
    </row>
    <row r="70" spans="1:12" x14ac:dyDescent="0.25">
      <c r="A70" s="108" t="s">
        <v>68</v>
      </c>
      <c r="B70" s="108"/>
      <c r="C70" s="108"/>
      <c r="D70" s="108"/>
      <c r="E70" s="108"/>
      <c r="F70" s="374"/>
      <c r="G70" s="374"/>
      <c r="H70" s="374"/>
      <c r="I70" s="374"/>
      <c r="J70" s="374"/>
      <c r="K70" s="374"/>
      <c r="L70" s="374"/>
    </row>
    <row r="71" spans="1:12" x14ac:dyDescent="0.25">
      <c r="A71" s="380" t="s">
        <v>30</v>
      </c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</row>
    <row r="72" spans="1:12" ht="48" customHeight="1" x14ac:dyDescent="0.25">
      <c r="A72" s="381" t="str">
        <f>ИспМатериал</f>
        <v>(Рама под аппаратуру) Паспорт №Б/н, АОРПИ №1.1-ИС</v>
      </c>
      <c r="B72" s="382"/>
      <c r="C72" s="382"/>
      <c r="D72" s="382"/>
      <c r="E72" s="382"/>
      <c r="F72" s="382"/>
      <c r="G72" s="382"/>
      <c r="H72" s="382"/>
      <c r="I72" s="382"/>
      <c r="J72" s="382"/>
      <c r="K72" s="382"/>
      <c r="L72" s="382"/>
    </row>
    <row r="73" spans="1:12" x14ac:dyDescent="0.25">
      <c r="A73" s="343" t="s">
        <v>31</v>
      </c>
      <c r="B73" s="343"/>
      <c r="C73" s="343"/>
      <c r="D73" s="343"/>
      <c r="E73" s="343"/>
      <c r="F73" s="343"/>
      <c r="G73" s="343"/>
      <c r="H73" s="343"/>
      <c r="I73" s="343"/>
      <c r="J73" s="343"/>
      <c r="K73" s="343"/>
      <c r="L73" s="343"/>
    </row>
    <row r="74" spans="1:12" x14ac:dyDescent="0.25">
      <c r="A74" s="376" t="s">
        <v>32</v>
      </c>
      <c r="B74" s="376"/>
      <c r="C74" s="376"/>
      <c r="D74" s="376"/>
      <c r="E74" s="376"/>
      <c r="F74" s="376"/>
      <c r="G74" s="376"/>
      <c r="H74" s="376"/>
      <c r="I74" s="376"/>
      <c r="J74" s="376"/>
      <c r="K74" s="376"/>
      <c r="L74" s="376"/>
    </row>
    <row r="75" spans="1:12" ht="49.9" customHeight="1" x14ac:dyDescent="0.25">
      <c r="A75" s="353" t="str">
        <f>C90</f>
        <v>Приложение №1.1-ИС, (Рама под аппаратуру) Паспорт №Б/н, АОРПИ №1.1-ИС</v>
      </c>
      <c r="B75" s="353"/>
      <c r="C75" s="353"/>
      <c r="D75" s="353"/>
      <c r="E75" s="353"/>
      <c r="F75" s="353"/>
      <c r="G75" s="353"/>
      <c r="H75" s="353"/>
      <c r="I75" s="353"/>
      <c r="J75" s="353"/>
      <c r="K75" s="353"/>
      <c r="L75" s="353"/>
    </row>
    <row r="76" spans="1:12" x14ac:dyDescent="0.25">
      <c r="A76" s="343" t="s">
        <v>33</v>
      </c>
      <c r="B76" s="343"/>
      <c r="C76" s="343"/>
      <c r="D76" s="343"/>
      <c r="E76" s="343"/>
      <c r="F76" s="343"/>
      <c r="G76" s="343"/>
      <c r="H76" s="343"/>
      <c r="I76" s="343"/>
      <c r="J76" s="343"/>
      <c r="K76" s="343"/>
      <c r="L76" s="343"/>
    </row>
    <row r="77" spans="1:1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1"/>
    </row>
    <row r="78" spans="1:12" x14ac:dyDescent="0.25">
      <c r="A78" s="343" t="s">
        <v>34</v>
      </c>
      <c r="B78" s="343"/>
      <c r="C78" s="343"/>
      <c r="D78" s="343"/>
      <c r="E78" s="343"/>
      <c r="F78" s="343"/>
      <c r="G78" s="343"/>
      <c r="H78" s="343"/>
      <c r="I78" s="343"/>
      <c r="J78" s="343"/>
      <c r="K78" s="343"/>
      <c r="L78" s="343"/>
    </row>
    <row r="79" spans="1:12" ht="15.75" x14ac:dyDescent="0.25">
      <c r="A79" s="1" t="s">
        <v>35</v>
      </c>
      <c r="B79" s="13"/>
      <c r="C79" s="4" t="s">
        <v>36</v>
      </c>
      <c r="D79" s="378">
        <f>ДатаНачала</f>
        <v>45279</v>
      </c>
      <c r="E79" s="378"/>
      <c r="F79" s="378"/>
      <c r="G79" s="378"/>
      <c r="H79" s="1"/>
      <c r="I79" s="1"/>
      <c r="J79" s="1"/>
      <c r="K79" s="1"/>
      <c r="L79" s="1"/>
    </row>
    <row r="80" spans="1:12" ht="15.75" x14ac:dyDescent="0.25">
      <c r="A80" s="1"/>
      <c r="B80" s="1"/>
      <c r="C80" s="4" t="s">
        <v>37</v>
      </c>
      <c r="D80" s="379">
        <f>ДатаЗавершения</f>
        <v>45281</v>
      </c>
      <c r="E80" s="379"/>
      <c r="F80" s="379"/>
      <c r="G80" s="379"/>
      <c r="H80" s="1"/>
      <c r="I80" s="1"/>
      <c r="J80" s="1"/>
      <c r="K80" s="1"/>
      <c r="L80" s="1"/>
    </row>
    <row r="81" spans="1:12" ht="31.5" customHeight="1" x14ac:dyDescent="0.25">
      <c r="A81" s="337" t="s">
        <v>38</v>
      </c>
      <c r="B81" s="337"/>
      <c r="C81" s="337"/>
      <c r="D81" s="337"/>
      <c r="E81" s="6"/>
      <c r="F81" s="353" t="str">
        <f>Проект</f>
        <v>М05.23.001-ИОС5.5-ММ-ПРО2-ГЧ</v>
      </c>
      <c r="G81" s="353"/>
      <c r="H81" s="353"/>
      <c r="I81" s="353"/>
      <c r="J81" s="353"/>
      <c r="K81" s="353"/>
      <c r="L81" s="353"/>
    </row>
    <row r="82" spans="1:12" x14ac:dyDescent="0.25">
      <c r="A82" s="384" t="s">
        <v>39</v>
      </c>
      <c r="B82" s="384"/>
      <c r="C82" s="384"/>
      <c r="D82" s="384"/>
      <c r="E82" s="384"/>
      <c r="F82" s="384"/>
      <c r="G82" s="384"/>
      <c r="H82" s="384"/>
      <c r="I82" s="384"/>
      <c r="J82" s="384"/>
      <c r="K82" s="384"/>
      <c r="L82" s="384"/>
    </row>
    <row r="83" spans="1:12" ht="51" customHeight="1" x14ac:dyDescent="0.25">
      <c r="A83" s="353" t="str">
        <f>Нормативка</f>
        <v>М05.23.001-ИОС5.5-ММ-ПРО2-ГЧ, СП 48.13330.2019 (Организация строительства) СП 520.1325800.2023 (Система электросвязи зданий и сооружений)</v>
      </c>
      <c r="B83" s="353"/>
      <c r="C83" s="353"/>
      <c r="D83" s="353"/>
      <c r="E83" s="353"/>
      <c r="F83" s="353"/>
      <c r="G83" s="353"/>
      <c r="H83" s="353"/>
      <c r="I83" s="353"/>
      <c r="J83" s="353"/>
      <c r="K83" s="353"/>
      <c r="L83" s="353"/>
    </row>
    <row r="84" spans="1:12" x14ac:dyDescent="0.25">
      <c r="A84" s="1"/>
      <c r="B84" s="1"/>
      <c r="C84" s="343" t="s">
        <v>40</v>
      </c>
      <c r="D84" s="343"/>
      <c r="E84" s="343"/>
      <c r="F84" s="343"/>
      <c r="G84" s="343"/>
      <c r="H84" s="343"/>
      <c r="I84" s="343"/>
      <c r="J84" s="343"/>
      <c r="K84" s="1"/>
      <c r="L84" s="1"/>
    </row>
    <row r="85" spans="1:12" ht="15.75" x14ac:dyDescent="0.25">
      <c r="A85" s="353"/>
      <c r="B85" s="353"/>
      <c r="C85" s="353"/>
      <c r="D85" s="353"/>
      <c r="E85" s="353"/>
      <c r="F85" s="353"/>
      <c r="G85" s="353"/>
      <c r="H85" s="353"/>
      <c r="I85" s="353"/>
      <c r="J85" s="353"/>
      <c r="K85" s="353"/>
      <c r="L85" s="353"/>
    </row>
    <row r="86" spans="1:12" ht="20.25" customHeight="1" x14ac:dyDescent="0.25">
      <c r="A86" s="385" t="s">
        <v>41</v>
      </c>
      <c r="B86" s="385"/>
      <c r="C86" s="385"/>
      <c r="D86" s="385"/>
      <c r="E86" s="385"/>
      <c r="F86" s="385"/>
      <c r="G86" s="386" t="str">
        <f>ПоследРаботы</f>
        <v>Монтаж кабинетов</v>
      </c>
      <c r="H86" s="365"/>
      <c r="I86" s="365"/>
      <c r="J86" s="365"/>
      <c r="K86" s="365"/>
      <c r="L86" s="365"/>
    </row>
    <row r="87" spans="1:12" x14ac:dyDescent="0.25">
      <c r="A87" s="375" t="s">
        <v>42</v>
      </c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</row>
    <row r="88" spans="1:12" x14ac:dyDescent="0.25">
      <c r="A88" s="1" t="s">
        <v>43</v>
      </c>
      <c r="B88" s="1"/>
      <c r="C88" s="1"/>
      <c r="D88" s="16" t="s">
        <v>52</v>
      </c>
      <c r="E88" s="10"/>
      <c r="F88" s="10"/>
      <c r="G88" s="10"/>
      <c r="H88" s="10"/>
      <c r="I88" s="10"/>
      <c r="J88" s="10"/>
      <c r="K88" s="10"/>
      <c r="L88" s="10"/>
    </row>
    <row r="89" spans="1:12" x14ac:dyDescent="0.25">
      <c r="A89" s="1" t="s">
        <v>44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33.6" customHeight="1" x14ac:dyDescent="0.25">
      <c r="A90" s="1"/>
      <c r="B90" s="7" t="s">
        <v>45</v>
      </c>
      <c r="C90" s="353" t="str">
        <f>ПрилДок</f>
        <v>Приложение №1.1-ИС, (Рама под аппаратуру) Паспорт №Б/н, АОРПИ №1.1-ИС</v>
      </c>
      <c r="D90" s="353"/>
      <c r="E90" s="353"/>
      <c r="F90" s="353"/>
      <c r="G90" s="353"/>
      <c r="H90" s="353"/>
      <c r="I90" s="353"/>
      <c r="J90" s="353"/>
      <c r="K90" s="353"/>
      <c r="L90" s="353"/>
    </row>
    <row r="91" spans="1:12" s="388" customFormat="1" x14ac:dyDescent="0.25">
      <c r="A91" s="387"/>
    </row>
    <row r="92" spans="1:12" ht="15.75" x14ac:dyDescent="0.25">
      <c r="A92" s="1"/>
      <c r="B92" s="8"/>
      <c r="C92" s="361" t="s">
        <v>46</v>
      </c>
      <c r="D92" s="361"/>
      <c r="E92" s="361"/>
      <c r="F92" s="361"/>
      <c r="G92" s="361"/>
      <c r="H92" s="361"/>
      <c r="I92" s="361"/>
      <c r="J92" s="361"/>
      <c r="K92" s="361"/>
      <c r="L92" s="361"/>
    </row>
    <row r="93" spans="1:12" ht="9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9"/>
    </row>
    <row r="94" spans="1:12" x14ac:dyDescent="0.25">
      <c r="A94" s="383" t="s">
        <v>47</v>
      </c>
      <c r="B94" s="337"/>
      <c r="C94" s="337"/>
      <c r="D94" s="337"/>
      <c r="E94" s="337"/>
      <c r="F94" s="337"/>
      <c r="G94" s="337"/>
      <c r="H94" s="337"/>
      <c r="I94" s="337"/>
      <c r="J94" s="337"/>
      <c r="K94" s="337"/>
      <c r="L94" s="337"/>
    </row>
    <row r="95" spans="1:12" ht="18" customHeight="1" x14ac:dyDescent="0.25">
      <c r="A95" s="363" t="str">
        <f>Инфо!C11</f>
        <v>Мухамедьянов Р.Р.</v>
      </c>
      <c r="B95" s="363"/>
      <c r="C95" s="363"/>
      <c r="D95" s="363"/>
      <c r="E95" s="363"/>
      <c r="F95" s="363"/>
      <c r="G95" s="363"/>
      <c r="H95" s="363"/>
      <c r="I95" s="1"/>
      <c r="J95" s="1"/>
      <c r="K95" s="1"/>
      <c r="L95" s="1"/>
    </row>
    <row r="96" spans="1:12" x14ac:dyDescent="0.25">
      <c r="A96" s="375" t="s">
        <v>48</v>
      </c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</row>
    <row r="97" spans="1:12" x14ac:dyDescent="0.25">
      <c r="A97" s="376" t="s">
        <v>49</v>
      </c>
      <c r="B97" s="376"/>
      <c r="C97" s="376"/>
      <c r="D97" s="376"/>
      <c r="E97" s="376"/>
      <c r="F97" s="376"/>
      <c r="G97" s="376"/>
      <c r="H97" s="376"/>
      <c r="I97" s="376"/>
      <c r="J97" s="376"/>
      <c r="K97" s="376"/>
      <c r="L97" s="376"/>
    </row>
    <row r="98" spans="1:12" ht="13.5" customHeight="1" x14ac:dyDescent="0.25">
      <c r="A98" s="389" t="str">
        <f>Инфо!C14</f>
        <v>Аюпов С.Ф.</v>
      </c>
      <c r="B98" s="389"/>
      <c r="C98" s="389"/>
      <c r="D98" s="389"/>
      <c r="E98" s="389"/>
      <c r="F98" s="389"/>
      <c r="G98" s="1"/>
      <c r="H98" s="1"/>
      <c r="I98" s="1"/>
      <c r="J98" s="1"/>
      <c r="K98" s="1"/>
      <c r="L98" s="1"/>
    </row>
    <row r="99" spans="1:12" x14ac:dyDescent="0.25">
      <c r="A99" s="375" t="s">
        <v>48</v>
      </c>
      <c r="B99" s="375"/>
      <c r="C99" s="375"/>
      <c r="D99" s="375"/>
      <c r="E99" s="375"/>
      <c r="F99" s="375"/>
      <c r="G99" s="375"/>
      <c r="H99" s="375"/>
      <c r="I99" s="375"/>
      <c r="J99" s="375"/>
      <c r="K99" s="375"/>
      <c r="L99" s="375"/>
    </row>
    <row r="100" spans="1:12" ht="26.25" customHeight="1" x14ac:dyDescent="0.25">
      <c r="A100" s="383" t="s">
        <v>50</v>
      </c>
      <c r="B100" s="337"/>
      <c r="C100" s="337"/>
      <c r="D100" s="337"/>
      <c r="E100" s="337"/>
      <c r="F100" s="337"/>
      <c r="G100" s="337"/>
      <c r="H100" s="337"/>
      <c r="I100" s="337"/>
      <c r="J100" s="337"/>
      <c r="K100" s="337"/>
      <c r="L100" s="337"/>
    </row>
    <row r="101" spans="1:12" ht="12.75" customHeight="1" x14ac:dyDescent="0.25">
      <c r="A101" s="389" t="str">
        <f>Инфо!C16</f>
        <v xml:space="preserve">Ишмухаметов А.И.  </v>
      </c>
      <c r="B101" s="389"/>
      <c r="C101" s="389"/>
      <c r="D101" s="389"/>
      <c r="E101" s="389"/>
      <c r="F101" s="389"/>
      <c r="G101" s="10"/>
      <c r="H101" s="10"/>
      <c r="I101" s="10"/>
      <c r="J101" s="10"/>
      <c r="K101" s="10"/>
      <c r="L101" s="10"/>
    </row>
    <row r="102" spans="1:12" x14ac:dyDescent="0.25">
      <c r="A102" s="361" t="s">
        <v>48</v>
      </c>
      <c r="B102" s="361"/>
      <c r="C102" s="361"/>
      <c r="D102" s="361"/>
      <c r="E102" s="361"/>
      <c r="F102" s="361"/>
      <c r="G102" s="361"/>
      <c r="H102" s="361"/>
      <c r="I102" s="361"/>
      <c r="J102" s="361"/>
      <c r="K102" s="361"/>
      <c r="L102" s="361"/>
    </row>
    <row r="103" spans="1:12" x14ac:dyDescent="0.25">
      <c r="A103" s="383" t="s">
        <v>8</v>
      </c>
      <c r="B103" s="337"/>
      <c r="C103" s="337"/>
      <c r="D103" s="337"/>
      <c r="E103" s="337"/>
      <c r="F103" s="337"/>
      <c r="G103" s="337"/>
      <c r="H103" s="337"/>
      <c r="I103" s="337"/>
      <c r="J103" s="337"/>
      <c r="K103" s="337"/>
      <c r="L103" s="337"/>
    </row>
    <row r="104" spans="1:12" ht="15.75" x14ac:dyDescent="0.25">
      <c r="A104" s="389"/>
      <c r="B104" s="389"/>
      <c r="C104" s="389"/>
      <c r="D104" s="389"/>
      <c r="E104" s="389"/>
      <c r="F104" s="389"/>
      <c r="G104" s="10"/>
      <c r="H104" s="10"/>
      <c r="I104" s="10"/>
      <c r="J104" s="10"/>
      <c r="K104" s="10"/>
      <c r="L104" s="10"/>
    </row>
    <row r="105" spans="1:12" x14ac:dyDescent="0.25">
      <c r="A105" s="361" t="s">
        <v>48</v>
      </c>
      <c r="B105" s="361"/>
      <c r="C105" s="361"/>
      <c r="D105" s="361"/>
      <c r="E105" s="361"/>
      <c r="F105" s="361"/>
      <c r="G105" s="361"/>
      <c r="H105" s="361"/>
      <c r="I105" s="361"/>
      <c r="J105" s="361"/>
      <c r="K105" s="361"/>
      <c r="L105" s="361"/>
    </row>
    <row r="106" spans="1:12" x14ac:dyDescent="0.25">
      <c r="A106" s="376" t="s">
        <v>18</v>
      </c>
      <c r="B106" s="376"/>
      <c r="C106" s="376"/>
      <c r="D106" s="376"/>
      <c r="E106" s="376"/>
      <c r="F106" s="376"/>
      <c r="G106" s="376"/>
      <c r="H106" s="376"/>
      <c r="I106" s="376"/>
      <c r="J106" s="376"/>
      <c r="K106" s="376"/>
      <c r="L106" s="376"/>
    </row>
    <row r="107" spans="1:12" ht="12.75" customHeight="1" x14ac:dyDescent="0.25">
      <c r="A107" s="389" t="str">
        <f>Инфо!C22</f>
        <v>Голощапов А.Е.</v>
      </c>
      <c r="B107" s="389"/>
      <c r="C107" s="389"/>
      <c r="D107" s="389"/>
      <c r="E107" s="389"/>
      <c r="F107" s="389"/>
      <c r="G107" s="389"/>
      <c r="H107" s="1"/>
      <c r="I107" s="1"/>
      <c r="J107" s="1"/>
      <c r="K107" s="1"/>
      <c r="L107" s="1"/>
    </row>
    <row r="108" spans="1:12" x14ac:dyDescent="0.25">
      <c r="A108" s="375" t="s">
        <v>48</v>
      </c>
      <c r="B108" s="375"/>
      <c r="C108" s="375"/>
      <c r="D108" s="375"/>
      <c r="E108" s="375"/>
      <c r="F108" s="375"/>
      <c r="G108" s="375"/>
      <c r="H108" s="375"/>
      <c r="I108" s="375"/>
      <c r="J108" s="375"/>
      <c r="K108" s="375"/>
      <c r="L108" s="375"/>
    </row>
    <row r="109" spans="1:12" x14ac:dyDescent="0.25">
      <c r="A109" s="6" t="s">
        <v>51</v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15.75" x14ac:dyDescent="0.25">
      <c r="A110" s="389" t="str">
        <f>Инфо!C28</f>
        <v xml:space="preserve">Базяев А.И.  </v>
      </c>
      <c r="B110" s="389"/>
      <c r="C110" s="389"/>
      <c r="D110" s="389"/>
      <c r="E110" s="389"/>
      <c r="F110" s="389"/>
      <c r="G110" s="389"/>
      <c r="H110" s="10"/>
      <c r="I110" s="10"/>
      <c r="J110" s="10"/>
      <c r="K110" s="10"/>
      <c r="L110" s="10"/>
    </row>
    <row r="111" spans="1:12" x14ac:dyDescent="0.25">
      <c r="A111" s="375" t="s">
        <v>48</v>
      </c>
      <c r="B111" s="375"/>
      <c r="C111" s="375"/>
      <c r="D111" s="375"/>
      <c r="E111" s="375"/>
      <c r="F111" s="375"/>
      <c r="G111" s="375"/>
      <c r="H111" s="375"/>
      <c r="I111" s="375"/>
      <c r="J111" s="375"/>
      <c r="K111" s="375"/>
      <c r="L111" s="375"/>
    </row>
    <row r="112" spans="1:12" x14ac:dyDescent="0.25">
      <c r="A112" s="1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5">
      <c r="A113" s="1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</row>
    <row r="114" spans="1:12" x14ac:dyDescent="0.25">
      <c r="A114" s="1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5">
      <c r="A115" s="1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</row>
    <row r="116" spans="1:12" x14ac:dyDescent="0.25">
      <c r="A116" s="1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5">
      <c r="A117" s="1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</row>
    <row r="118" spans="1:12" x14ac:dyDescent="0.25">
      <c r="A118" s="1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5">
      <c r="A119" s="1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</row>
    <row r="120" spans="1:12" x14ac:dyDescent="0.25">
      <c r="A120" s="1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5">
      <c r="A121" s="1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</row>
    <row r="122" spans="1:12" x14ac:dyDescent="0.25">
      <c r="A122" s="1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5">
      <c r="A123" s="1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</row>
    <row r="124" spans="1:12" x14ac:dyDescent="0.25">
      <c r="A124" s="1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5">
      <c r="A125" s="1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</row>
  </sheetData>
  <mergeCells count="110">
    <mergeCell ref="A111:L111"/>
    <mergeCell ref="A104:F104"/>
    <mergeCell ref="A105:L105"/>
    <mergeCell ref="A106:L106"/>
    <mergeCell ref="A107:G107"/>
    <mergeCell ref="A108:L108"/>
    <mergeCell ref="A110:G110"/>
    <mergeCell ref="A98:F98"/>
    <mergeCell ref="A99:L99"/>
    <mergeCell ref="A100:L100"/>
    <mergeCell ref="A101:F101"/>
    <mergeCell ref="A102:L102"/>
    <mergeCell ref="A103:L103"/>
    <mergeCell ref="C90:L90"/>
    <mergeCell ref="C92:L92"/>
    <mergeCell ref="A94:L94"/>
    <mergeCell ref="A95:H95"/>
    <mergeCell ref="A96:L96"/>
    <mergeCell ref="A97:L97"/>
    <mergeCell ref="A82:L82"/>
    <mergeCell ref="A83:L83"/>
    <mergeCell ref="C84:J84"/>
    <mergeCell ref="A86:F86"/>
    <mergeCell ref="G86:L86"/>
    <mergeCell ref="A87:L87"/>
    <mergeCell ref="A91:XFD91"/>
    <mergeCell ref="A75:L75"/>
    <mergeCell ref="A76:L76"/>
    <mergeCell ref="A78:L78"/>
    <mergeCell ref="D79:G79"/>
    <mergeCell ref="D80:G80"/>
    <mergeCell ref="A81:D81"/>
    <mergeCell ref="F81:L81"/>
    <mergeCell ref="A85:L85"/>
    <mergeCell ref="A69:L69"/>
    <mergeCell ref="A71:L71"/>
    <mergeCell ref="A72:L72"/>
    <mergeCell ref="A73:L73"/>
    <mergeCell ref="A74:L74"/>
    <mergeCell ref="A64:L64"/>
    <mergeCell ref="A65:L65"/>
    <mergeCell ref="A66:F66"/>
    <mergeCell ref="G66:L66"/>
    <mergeCell ref="A67:L67"/>
    <mergeCell ref="A68:L68"/>
    <mergeCell ref="F70:L70"/>
    <mergeCell ref="A59:L59"/>
    <mergeCell ref="A61:L61"/>
    <mergeCell ref="A62:L62"/>
    <mergeCell ref="A63:H63"/>
    <mergeCell ref="I63:L63"/>
    <mergeCell ref="A53:L53"/>
    <mergeCell ref="A54:L54"/>
    <mergeCell ref="A55:L55"/>
    <mergeCell ref="A56:L56"/>
    <mergeCell ref="A57:L57"/>
    <mergeCell ref="A58:L58"/>
    <mergeCell ref="A60:D60"/>
    <mergeCell ref="F60:L60"/>
    <mergeCell ref="A47:L47"/>
    <mergeCell ref="A48:L48"/>
    <mergeCell ref="A49:L49"/>
    <mergeCell ref="A50:L50"/>
    <mergeCell ref="A51:L51"/>
    <mergeCell ref="A52:L52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40:L40"/>
    <mergeCell ref="A41:L41"/>
    <mergeCell ref="A27:L27"/>
    <mergeCell ref="A29:L29"/>
    <mergeCell ref="A30:L30"/>
    <mergeCell ref="A31:L31"/>
    <mergeCell ref="A32:L32"/>
    <mergeCell ref="A33:L33"/>
    <mergeCell ref="A28:C28"/>
    <mergeCell ref="D28:L28"/>
    <mergeCell ref="A39:L39"/>
    <mergeCell ref="A20:L20"/>
    <mergeCell ref="A21:L21"/>
    <mergeCell ref="A23:L23"/>
    <mergeCell ref="A24:L24"/>
    <mergeCell ref="K25:L25"/>
    <mergeCell ref="K26:L26"/>
    <mergeCell ref="A13:L13"/>
    <mergeCell ref="A14:L14"/>
    <mergeCell ref="A15:L15"/>
    <mergeCell ref="A17:L17"/>
    <mergeCell ref="A18:L18"/>
    <mergeCell ref="A19:L19"/>
    <mergeCell ref="A25:B25"/>
    <mergeCell ref="A7:L7"/>
    <mergeCell ref="A8:L8"/>
    <mergeCell ref="A9:L9"/>
    <mergeCell ref="A10:L10"/>
    <mergeCell ref="A11:L11"/>
    <mergeCell ref="A12:L12"/>
    <mergeCell ref="I1:L1"/>
    <mergeCell ref="A2:L2"/>
    <mergeCell ref="A3:L3"/>
    <mergeCell ref="A4:L4"/>
    <mergeCell ref="A5:L5"/>
    <mergeCell ref="A6:L6"/>
  </mergeCells>
  <pageMargins left="0.70866141732283472" right="0.31496062992125984" top="0.35433070866141736" bottom="0.35433070866141736" header="0.31496062992125984" footer="0.31496062992125984"/>
  <pageSetup paperSize="9" scale="68" fitToHeight="2" orientation="portrait" r:id="rId1"/>
  <rowBreaks count="1" manualBreakCount="1">
    <brk id="61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C1:G8"/>
  <sheetViews>
    <sheetView zoomScale="130" zoomScaleNormal="130" workbookViewId="0">
      <selection activeCell="J51" sqref="J51:K51"/>
    </sheetView>
  </sheetViews>
  <sheetFormatPr defaultRowHeight="15" x14ac:dyDescent="0.25"/>
  <cols>
    <col min="3" max="3" width="4.5703125" customWidth="1"/>
    <col min="4" max="4" width="30.140625" customWidth="1"/>
    <col min="5" max="5" width="7.42578125" customWidth="1"/>
    <col min="7" max="7" width="9.85546875" customWidth="1"/>
  </cols>
  <sheetData>
    <row r="1" spans="3:7" x14ac:dyDescent="0.25">
      <c r="C1" s="390" t="s">
        <v>872</v>
      </c>
      <c r="D1" s="391"/>
      <c r="E1" s="391"/>
      <c r="F1" s="391"/>
      <c r="G1" s="391"/>
    </row>
    <row r="2" spans="3:7" x14ac:dyDescent="0.25">
      <c r="C2" s="391"/>
      <c r="D2" s="391"/>
      <c r="E2" s="391"/>
      <c r="F2" s="391"/>
      <c r="G2" s="391"/>
    </row>
    <row r="3" spans="3:7" ht="30" x14ac:dyDescent="0.25">
      <c r="C3" s="235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5" t="s">
        <v>972</v>
      </c>
      <c r="D4" s="234" t="s">
        <v>974</v>
      </c>
      <c r="E4" s="234">
        <v>2</v>
      </c>
      <c r="F4" s="235">
        <v>65.89</v>
      </c>
      <c r="G4" s="234">
        <v>131.78</v>
      </c>
    </row>
    <row r="5" spans="3:7" x14ac:dyDescent="0.25">
      <c r="C5" s="235" t="s">
        <v>973</v>
      </c>
      <c r="D5" s="234" t="s">
        <v>975</v>
      </c>
      <c r="E5" s="234">
        <v>4</v>
      </c>
      <c r="F5" s="235">
        <v>39</v>
      </c>
      <c r="G5" s="234">
        <v>156</v>
      </c>
    </row>
    <row r="6" spans="3:7" x14ac:dyDescent="0.25">
      <c r="C6" s="234">
        <v>1</v>
      </c>
      <c r="D6" s="234" t="s">
        <v>970</v>
      </c>
      <c r="E6" s="234">
        <v>132</v>
      </c>
      <c r="F6" s="234">
        <v>0.59</v>
      </c>
      <c r="G6" s="234">
        <v>77.88</v>
      </c>
    </row>
    <row r="7" spans="3:7" x14ac:dyDescent="0.25">
      <c r="C7" s="234">
        <v>2</v>
      </c>
      <c r="D7" s="234" t="s">
        <v>969</v>
      </c>
      <c r="E7" s="234">
        <v>4</v>
      </c>
      <c r="F7" s="234">
        <v>1.8</v>
      </c>
      <c r="G7" s="234">
        <v>7.2</v>
      </c>
    </row>
    <row r="8" spans="3:7" ht="45" x14ac:dyDescent="0.25">
      <c r="C8" s="234">
        <v>5</v>
      </c>
      <c r="D8" s="235" t="s">
        <v>971</v>
      </c>
      <c r="E8" s="234">
        <v>1</v>
      </c>
      <c r="F8" s="234">
        <v>1.24</v>
      </c>
      <c r="G8" s="234">
        <v>1.24</v>
      </c>
    </row>
  </sheetData>
  <mergeCells count="1">
    <mergeCell ref="C1:G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B2:H15"/>
  <sheetViews>
    <sheetView zoomScaleNormal="100" workbookViewId="0">
      <selection activeCell="J51" sqref="J51:K51"/>
    </sheetView>
  </sheetViews>
  <sheetFormatPr defaultRowHeight="15" x14ac:dyDescent="0.25"/>
  <cols>
    <col min="3" max="3" width="29.85546875" customWidth="1"/>
    <col min="6" max="6" width="10.42578125" customWidth="1"/>
  </cols>
  <sheetData>
    <row r="2" spans="2:8" x14ac:dyDescent="0.25">
      <c r="B2" s="392" t="s">
        <v>872</v>
      </c>
      <c r="C2" s="393"/>
      <c r="D2" s="393"/>
      <c r="E2" s="393"/>
      <c r="F2" s="393"/>
    </row>
    <row r="3" spans="2:8" x14ac:dyDescent="0.25">
      <c r="B3" s="394"/>
      <c r="C3" s="394"/>
      <c r="D3" s="394"/>
      <c r="E3" s="394"/>
      <c r="F3" s="394"/>
    </row>
    <row r="4" spans="2:8" ht="30" x14ac:dyDescent="0.25">
      <c r="B4" s="234" t="s">
        <v>873</v>
      </c>
      <c r="C4" s="234" t="s">
        <v>874</v>
      </c>
      <c r="D4" s="234" t="s">
        <v>875</v>
      </c>
      <c r="E4" s="235" t="s">
        <v>876</v>
      </c>
      <c r="F4" s="234" t="s">
        <v>877</v>
      </c>
    </row>
    <row r="5" spans="2:8" x14ac:dyDescent="0.25">
      <c r="B5" s="234">
        <v>4</v>
      </c>
      <c r="C5" s="238" t="s">
        <v>1236</v>
      </c>
      <c r="D5" s="234">
        <v>140</v>
      </c>
      <c r="E5" s="234">
        <v>1.56</v>
      </c>
      <c r="F5" s="234">
        <v>218.4</v>
      </c>
      <c r="G5">
        <f>D5*E5</f>
        <v>218.4</v>
      </c>
      <c r="H5">
        <f>G5*14</f>
        <v>3057.6</v>
      </c>
    </row>
    <row r="6" spans="2:8" x14ac:dyDescent="0.25">
      <c r="B6" s="234">
        <v>1</v>
      </c>
      <c r="C6" s="238" t="s">
        <v>1018</v>
      </c>
      <c r="D6" s="234">
        <v>14</v>
      </c>
      <c r="E6" s="234">
        <v>20.6</v>
      </c>
      <c r="F6" s="234">
        <v>288.39999999999998</v>
      </c>
      <c r="G6">
        <f>D6*E6</f>
        <v>288.40000000000003</v>
      </c>
    </row>
    <row r="7" spans="2:8" x14ac:dyDescent="0.25">
      <c r="B7" s="234">
        <v>5</v>
      </c>
      <c r="C7" s="238" t="s">
        <v>1237</v>
      </c>
      <c r="D7" s="234">
        <v>112</v>
      </c>
      <c r="E7" s="234">
        <v>0.44</v>
      </c>
      <c r="F7" s="234">
        <v>49.28</v>
      </c>
      <c r="G7">
        <f>D7*E7</f>
        <v>49.28</v>
      </c>
      <c r="H7">
        <f>G7*14</f>
        <v>689.92000000000007</v>
      </c>
    </row>
    <row r="8" spans="2:8" x14ac:dyDescent="0.25">
      <c r="B8" s="234">
        <v>6</v>
      </c>
      <c r="C8" s="238" t="s">
        <v>1238</v>
      </c>
      <c r="D8" s="234">
        <v>308</v>
      </c>
      <c r="E8" s="234">
        <v>0.34</v>
      </c>
      <c r="F8" s="234">
        <v>104.7</v>
      </c>
      <c r="G8">
        <f>D8*E8</f>
        <v>104.72000000000001</v>
      </c>
      <c r="H8">
        <f>F8*14</f>
        <v>1465.8</v>
      </c>
    </row>
    <row r="9" spans="2:8" x14ac:dyDescent="0.25">
      <c r="B9" s="234">
        <v>7</v>
      </c>
      <c r="C9" s="238" t="s">
        <v>1239</v>
      </c>
      <c r="D9" s="234">
        <v>392</v>
      </c>
      <c r="E9" s="234">
        <v>0.22</v>
      </c>
      <c r="F9" s="234">
        <v>86.22</v>
      </c>
      <c r="G9">
        <f>D9*E9</f>
        <v>86.24</v>
      </c>
      <c r="H9">
        <f>G9*14</f>
        <v>1207.3599999999999</v>
      </c>
    </row>
    <row r="10" spans="2:8" x14ac:dyDescent="0.25">
      <c r="B10" s="239"/>
      <c r="C10" s="239"/>
      <c r="D10" s="239"/>
      <c r="E10" s="239"/>
      <c r="F10" s="267">
        <v>746.5</v>
      </c>
      <c r="G10" s="270">
        <f>G5+G6</f>
        <v>506.80000000000007</v>
      </c>
    </row>
    <row r="11" spans="2:8" x14ac:dyDescent="0.25">
      <c r="F11">
        <f>F5+F6+F7+F8+F9</f>
        <v>747</v>
      </c>
    </row>
    <row r="12" spans="2:8" x14ac:dyDescent="0.25">
      <c r="G12" s="269">
        <f>G7+G8+G9</f>
        <v>240.24</v>
      </c>
    </row>
    <row r="15" spans="2:8" x14ac:dyDescent="0.25">
      <c r="B15" t="s">
        <v>1240</v>
      </c>
    </row>
  </sheetData>
  <mergeCells count="1">
    <mergeCell ref="B2:F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8"/>
  <dimension ref="C1:G9"/>
  <sheetViews>
    <sheetView zoomScale="115" zoomScaleNormal="115" workbookViewId="0">
      <selection activeCell="J51" sqref="J51:K51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92" t="s">
        <v>872</v>
      </c>
      <c r="D1" s="393"/>
      <c r="E1" s="393"/>
      <c r="F1" s="393"/>
      <c r="G1" s="393"/>
    </row>
    <row r="2" spans="3:7" x14ac:dyDescent="0.25">
      <c r="C2" s="394"/>
      <c r="D2" s="394"/>
      <c r="E2" s="394"/>
      <c r="F2" s="394"/>
      <c r="G2" s="394"/>
    </row>
    <row r="3" spans="3:7" ht="30" x14ac:dyDescent="0.25">
      <c r="C3" s="234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4">
        <v>1</v>
      </c>
      <c r="D4" s="238" t="s">
        <v>1018</v>
      </c>
      <c r="E4" s="234">
        <v>421.2</v>
      </c>
      <c r="F4" s="234">
        <v>0.88800000000000001</v>
      </c>
      <c r="G4" s="234">
        <v>374.03</v>
      </c>
    </row>
    <row r="5" spans="3:7" x14ac:dyDescent="0.25">
      <c r="C5" s="234">
        <v>4</v>
      </c>
      <c r="D5" s="238" t="s">
        <v>1019</v>
      </c>
      <c r="E5" s="234">
        <v>32</v>
      </c>
      <c r="F5" s="234">
        <v>1.65</v>
      </c>
      <c r="G5" s="234">
        <v>52.8</v>
      </c>
    </row>
    <row r="6" spans="3:7" x14ac:dyDescent="0.25">
      <c r="C6" s="234">
        <v>5</v>
      </c>
      <c r="D6" s="238" t="s">
        <v>1021</v>
      </c>
      <c r="E6" s="234">
        <v>48</v>
      </c>
      <c r="F6" s="234">
        <v>0.2</v>
      </c>
      <c r="G6" s="234">
        <v>9.6</v>
      </c>
    </row>
    <row r="7" spans="3:7" x14ac:dyDescent="0.25">
      <c r="C7" s="234">
        <v>6</v>
      </c>
      <c r="D7" s="238" t="s">
        <v>1020</v>
      </c>
      <c r="E7" s="234">
        <v>107.4</v>
      </c>
      <c r="F7" s="234">
        <v>1.17</v>
      </c>
      <c r="G7" s="234">
        <v>125.66</v>
      </c>
    </row>
    <row r="8" spans="3:7" x14ac:dyDescent="0.25">
      <c r="C8" s="234">
        <v>7</v>
      </c>
      <c r="D8" s="238" t="s">
        <v>1022</v>
      </c>
      <c r="E8" s="234">
        <v>70</v>
      </c>
      <c r="F8" s="234">
        <v>0.81</v>
      </c>
      <c r="G8" s="234">
        <v>56.7</v>
      </c>
    </row>
    <row r="9" spans="3:7" x14ac:dyDescent="0.25">
      <c r="C9" s="239"/>
      <c r="D9" s="239"/>
      <c r="E9" s="239"/>
      <c r="F9" s="239"/>
      <c r="G9" s="239">
        <v>1237.52</v>
      </c>
    </row>
  </sheetData>
  <mergeCells count="1">
    <mergeCell ref="C1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/>
  <dimension ref="B3:G12"/>
  <sheetViews>
    <sheetView workbookViewId="0">
      <selection activeCell="J51" sqref="J51:K51"/>
    </sheetView>
  </sheetViews>
  <sheetFormatPr defaultRowHeight="15" x14ac:dyDescent="0.25"/>
  <cols>
    <col min="3" max="3" width="28.7109375" customWidth="1"/>
  </cols>
  <sheetData>
    <row r="3" spans="2:7" x14ac:dyDescent="0.25">
      <c r="B3" s="392" t="s">
        <v>872</v>
      </c>
      <c r="C3" s="393"/>
      <c r="D3" s="393"/>
      <c r="E3" s="393"/>
      <c r="F3" s="393"/>
    </row>
    <row r="4" spans="2:7" x14ac:dyDescent="0.25">
      <c r="B4" s="394"/>
      <c r="C4" s="394"/>
      <c r="D4" s="394"/>
      <c r="E4" s="394"/>
      <c r="F4" s="394"/>
    </row>
    <row r="5" spans="2:7" ht="30" x14ac:dyDescent="0.25">
      <c r="B5" s="234" t="s">
        <v>873</v>
      </c>
      <c r="C5" s="234" t="s">
        <v>874</v>
      </c>
      <c r="D5" s="234" t="s">
        <v>875</v>
      </c>
      <c r="E5" s="235" t="s">
        <v>876</v>
      </c>
      <c r="F5" s="234" t="s">
        <v>877</v>
      </c>
    </row>
    <row r="6" spans="2:7" x14ac:dyDescent="0.25">
      <c r="B6" s="234">
        <v>1</v>
      </c>
      <c r="C6" s="238" t="s">
        <v>1018</v>
      </c>
      <c r="D6" s="234">
        <v>257.39999999999998</v>
      </c>
      <c r="E6" s="234">
        <v>0.88800000000000001</v>
      </c>
      <c r="F6" s="234">
        <v>228.57</v>
      </c>
      <c r="G6">
        <f>D6*E6</f>
        <v>228.57119999999998</v>
      </c>
    </row>
    <row r="7" spans="2:7" x14ac:dyDescent="0.25">
      <c r="B7" s="234">
        <v>2</v>
      </c>
      <c r="C7" s="238" t="s">
        <v>1204</v>
      </c>
      <c r="D7" s="234">
        <v>40</v>
      </c>
      <c r="E7" s="234">
        <v>0.67</v>
      </c>
      <c r="F7" s="234">
        <v>26.8</v>
      </c>
      <c r="G7">
        <f>D7*E7</f>
        <v>26.8</v>
      </c>
    </row>
    <row r="8" spans="2:7" x14ac:dyDescent="0.25">
      <c r="B8" s="234">
        <v>3</v>
      </c>
      <c r="C8" s="238" t="s">
        <v>1205</v>
      </c>
      <c r="D8" s="234">
        <v>76</v>
      </c>
      <c r="E8" s="234">
        <v>0.86</v>
      </c>
      <c r="F8" s="234">
        <v>65.36</v>
      </c>
      <c r="G8">
        <f>D8*E8</f>
        <v>65.36</v>
      </c>
    </row>
    <row r="9" spans="2:7" x14ac:dyDescent="0.25">
      <c r="B9" s="234">
        <v>4</v>
      </c>
      <c r="C9" s="238" t="s">
        <v>1019</v>
      </c>
      <c r="D9" s="234">
        <v>24</v>
      </c>
      <c r="E9" s="234">
        <v>1.64</v>
      </c>
      <c r="F9" s="234">
        <v>39.36</v>
      </c>
      <c r="G9">
        <f>D9*E9</f>
        <v>39.36</v>
      </c>
    </row>
    <row r="10" spans="2:7" x14ac:dyDescent="0.25">
      <c r="B10" s="234">
        <v>5</v>
      </c>
      <c r="C10" s="238" t="s">
        <v>1021</v>
      </c>
      <c r="D10" s="234">
        <v>36</v>
      </c>
      <c r="E10" s="234">
        <v>0.2</v>
      </c>
      <c r="F10" s="234">
        <v>7.2</v>
      </c>
      <c r="G10">
        <f>D10*E10</f>
        <v>7.2</v>
      </c>
    </row>
    <row r="11" spans="2:7" x14ac:dyDescent="0.25">
      <c r="B11" s="239"/>
      <c r="C11" s="239"/>
      <c r="D11" s="239"/>
      <c r="E11" s="239"/>
      <c r="F11" s="239">
        <v>367.32</v>
      </c>
    </row>
    <row r="12" spans="2:7" x14ac:dyDescent="0.25">
      <c r="F12">
        <f>F6+F7+F8+F9+F10</f>
        <v>367.29</v>
      </c>
    </row>
  </sheetData>
  <mergeCells count="1">
    <mergeCell ref="B3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/>
  <dimension ref="C1:G9"/>
  <sheetViews>
    <sheetView zoomScale="115" zoomScaleNormal="115" workbookViewId="0">
      <selection activeCell="J51" sqref="J51:K51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92" t="s">
        <v>872</v>
      </c>
      <c r="D1" s="393"/>
      <c r="E1" s="393"/>
      <c r="F1" s="393"/>
      <c r="G1" s="393"/>
    </row>
    <row r="2" spans="3:7" x14ac:dyDescent="0.25">
      <c r="C2" s="394"/>
      <c r="D2" s="394"/>
      <c r="E2" s="394"/>
      <c r="F2" s="394"/>
      <c r="G2" s="394"/>
    </row>
    <row r="3" spans="3:7" ht="30" x14ac:dyDescent="0.25">
      <c r="C3" s="234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4">
        <v>1</v>
      </c>
      <c r="D4" s="238" t="s">
        <v>1018</v>
      </c>
      <c r="E4" s="234">
        <v>116.4</v>
      </c>
      <c r="F4" s="234">
        <v>0.88800000000000001</v>
      </c>
      <c r="G4" s="234">
        <v>103.36320000000001</v>
      </c>
    </row>
    <row r="5" spans="3:7" x14ac:dyDescent="0.25">
      <c r="C5" s="234">
        <v>2</v>
      </c>
      <c r="D5" s="238" t="s">
        <v>1074</v>
      </c>
      <c r="E5" s="234">
        <v>48</v>
      </c>
      <c r="F5" s="234">
        <v>1.98</v>
      </c>
      <c r="G5" s="234">
        <v>95.04</v>
      </c>
    </row>
    <row r="6" spans="3:7" x14ac:dyDescent="0.25">
      <c r="C6" s="234">
        <v>3</v>
      </c>
      <c r="D6" s="238" t="s">
        <v>1021</v>
      </c>
      <c r="E6" s="234">
        <v>24</v>
      </c>
      <c r="F6" s="234">
        <v>0.2</v>
      </c>
      <c r="G6" s="234">
        <v>4.8</v>
      </c>
    </row>
    <row r="7" spans="3:7" x14ac:dyDescent="0.25">
      <c r="C7" s="234">
        <v>4</v>
      </c>
      <c r="D7" s="238" t="s">
        <v>1075</v>
      </c>
      <c r="E7" s="234">
        <v>16</v>
      </c>
      <c r="F7" s="234">
        <v>1.92</v>
      </c>
      <c r="G7" s="234">
        <v>30.72</v>
      </c>
    </row>
    <row r="8" spans="3:7" x14ac:dyDescent="0.25">
      <c r="C8" s="234">
        <v>5</v>
      </c>
      <c r="D8" s="238" t="s">
        <v>1076</v>
      </c>
      <c r="E8" s="234">
        <v>3</v>
      </c>
      <c r="F8" s="234">
        <v>0.84</v>
      </c>
      <c r="G8" s="234">
        <v>2.52</v>
      </c>
    </row>
    <row r="9" spans="3:7" x14ac:dyDescent="0.25">
      <c r="C9" s="239"/>
      <c r="D9" s="239"/>
      <c r="E9" s="239"/>
      <c r="F9" s="239"/>
      <c r="G9" s="239">
        <v>236.44319999999999</v>
      </c>
    </row>
  </sheetData>
  <mergeCells count="1">
    <mergeCell ref="C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>
    <pageSetUpPr fitToPage="1"/>
  </sheetPr>
  <dimension ref="A1:O112"/>
  <sheetViews>
    <sheetView showGridLines="0" view="pageBreakPreview" zoomScale="115" zoomScaleNormal="100" zoomScaleSheetLayoutView="115" workbookViewId="0">
      <selection activeCell="A75" sqref="A75:L75"/>
    </sheetView>
  </sheetViews>
  <sheetFormatPr defaultColWidth="9.140625" defaultRowHeight="15" x14ac:dyDescent="0.25"/>
  <cols>
    <col min="1" max="2" width="11.5703125" style="22" customWidth="1"/>
    <col min="3" max="3" width="11" style="22" customWidth="1"/>
    <col min="4" max="4" width="7.5703125" style="22" customWidth="1"/>
    <col min="5" max="5" width="9.28515625" style="22" customWidth="1"/>
    <col min="6" max="6" width="14.42578125" style="22" customWidth="1"/>
    <col min="7" max="7" width="15.85546875" style="22" customWidth="1"/>
    <col min="8" max="9" width="9.28515625" style="22" customWidth="1"/>
    <col min="10" max="10" width="11.28515625" style="22" customWidth="1"/>
    <col min="11" max="11" width="11.140625" style="22" customWidth="1"/>
    <col min="12" max="14" width="4.42578125" style="22" customWidth="1"/>
    <col min="15" max="15" width="4.42578125" style="27" customWidth="1"/>
    <col min="16" max="16384" width="9.140625" style="22"/>
  </cols>
  <sheetData>
    <row r="1" spans="1:15" x14ac:dyDescent="0.25">
      <c r="A1" s="18" t="s">
        <v>84</v>
      </c>
      <c r="B1" s="398" t="s">
        <v>141</v>
      </c>
      <c r="C1" s="398"/>
      <c r="D1" s="398"/>
      <c r="E1" s="1"/>
      <c r="F1" s="55"/>
      <c r="G1" s="57" t="s">
        <v>133</v>
      </c>
      <c r="H1" s="57" t="s">
        <v>85</v>
      </c>
      <c r="I1" s="57"/>
      <c r="J1" s="57"/>
      <c r="K1" s="57"/>
      <c r="L1" s="20"/>
      <c r="M1" s="20"/>
      <c r="N1" s="20"/>
      <c r="O1" s="21"/>
    </row>
    <row r="2" spans="1:15" ht="15.75" customHeight="1" x14ac:dyDescent="0.25">
      <c r="A2" s="18" t="s">
        <v>86</v>
      </c>
      <c r="B2" s="399" t="s">
        <v>141</v>
      </c>
      <c r="C2" s="399"/>
      <c r="D2" s="399"/>
      <c r="E2" s="1"/>
      <c r="F2" s="23"/>
      <c r="G2" s="58"/>
      <c r="H2" s="58" t="s">
        <v>87</v>
      </c>
      <c r="I2" s="58"/>
      <c r="J2" s="58"/>
      <c r="K2" s="58"/>
      <c r="L2" s="25"/>
      <c r="M2" s="25"/>
      <c r="N2" s="25"/>
      <c r="O2" s="26"/>
    </row>
    <row r="3" spans="1:15" x14ac:dyDescent="0.25">
      <c r="A3" s="18" t="s">
        <v>88</v>
      </c>
      <c r="B3" s="18"/>
      <c r="C3" s="399" t="str">
        <f>Инфо!B30</f>
        <v>ООО «Медиасервис»</v>
      </c>
      <c r="D3" s="399"/>
      <c r="E3" s="1"/>
      <c r="F3" s="56"/>
      <c r="G3" s="396" t="s">
        <v>140</v>
      </c>
      <c r="H3" s="396"/>
      <c r="I3" s="396"/>
      <c r="J3" s="396"/>
      <c r="K3" s="396"/>
    </row>
    <row r="4" spans="1:15" ht="24" customHeight="1" x14ac:dyDescent="0.25">
      <c r="A4" s="28" t="s">
        <v>89</v>
      </c>
      <c r="B4" s="396" t="s">
        <v>150</v>
      </c>
      <c r="C4" s="396"/>
      <c r="D4" s="396"/>
      <c r="E4" s="1"/>
      <c r="F4" s="29"/>
      <c r="G4" s="397" t="str">
        <f>"Объект: "&amp;Инфо!B2</f>
        <v>Объект: 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H4" s="397"/>
      <c r="I4" s="397"/>
      <c r="J4" s="397"/>
      <c r="K4" s="397"/>
    </row>
    <row r="5" spans="1:15" ht="15" customHeight="1" x14ac:dyDescent="0.25">
      <c r="A5" s="30"/>
      <c r="B5" s="30"/>
      <c r="C5" s="30"/>
      <c r="D5" s="30"/>
      <c r="E5" s="1"/>
      <c r="F5" s="59"/>
      <c r="G5" s="59"/>
      <c r="H5" s="59"/>
      <c r="I5" s="59"/>
      <c r="J5" s="59"/>
      <c r="K5" s="59"/>
    </row>
    <row r="6" spans="1:15" x14ac:dyDescent="0.25">
      <c r="A6" s="30"/>
      <c r="B6" s="30"/>
      <c r="C6" s="30"/>
      <c r="D6" s="30"/>
      <c r="E6" s="1"/>
    </row>
    <row r="7" spans="1:15" x14ac:dyDescent="0.25">
      <c r="A7" s="30"/>
      <c r="B7" s="30"/>
      <c r="C7" s="30"/>
      <c r="D7" s="30"/>
      <c r="E7" s="1"/>
    </row>
    <row r="8" spans="1:15" x14ac:dyDescent="0.25">
      <c r="A8" s="79"/>
      <c r="B8" s="79"/>
      <c r="C8" s="79"/>
      <c r="D8" s="24"/>
      <c r="E8" s="19"/>
      <c r="F8" s="24"/>
      <c r="G8" s="31"/>
      <c r="H8" s="31"/>
      <c r="I8" s="31"/>
      <c r="J8" s="31"/>
    </row>
    <row r="9" spans="1:15" ht="15.75" customHeight="1" x14ac:dyDescent="0.25">
      <c r="A9" s="32"/>
      <c r="B9" s="32"/>
      <c r="C9" s="32"/>
      <c r="D9" s="32"/>
      <c r="F9" s="98" t="s">
        <v>90</v>
      </c>
      <c r="G9" s="106" t="e">
        <f>ВКНомерВК</f>
        <v>#REF!</v>
      </c>
      <c r="H9" s="32"/>
      <c r="I9" s="32"/>
      <c r="J9" s="32"/>
      <c r="K9" s="32"/>
    </row>
    <row r="10" spans="1:15" x14ac:dyDescent="0.25">
      <c r="A10" s="395" t="s">
        <v>91</v>
      </c>
      <c r="B10" s="395"/>
      <c r="C10" s="395"/>
      <c r="D10" s="395"/>
      <c r="E10" s="395"/>
      <c r="F10" s="395"/>
      <c r="G10" s="395"/>
      <c r="H10" s="395"/>
      <c r="I10" s="395"/>
      <c r="J10" s="395"/>
      <c r="K10" s="395"/>
    </row>
    <row r="11" spans="1:15" ht="15" customHeight="1" x14ac:dyDescent="0.25">
      <c r="A11" s="405" t="s">
        <v>683</v>
      </c>
      <c r="B11" s="405"/>
      <c r="C11" s="405"/>
      <c r="D11" s="405"/>
      <c r="E11" s="405"/>
      <c r="F11" s="405"/>
      <c r="G11" s="405"/>
      <c r="H11" s="405"/>
      <c r="I11" s="405"/>
      <c r="J11" s="405"/>
      <c r="K11" s="405"/>
    </row>
    <row r="12" spans="1:15" x14ac:dyDescent="0.25">
      <c r="A12" s="32"/>
      <c r="B12" s="32"/>
      <c r="C12" s="32"/>
      <c r="D12" s="32"/>
      <c r="E12" s="32"/>
      <c r="G12" s="33" t="s">
        <v>92</v>
      </c>
      <c r="H12" s="32"/>
      <c r="I12" s="32"/>
      <c r="J12" s="32"/>
      <c r="K12" s="32"/>
    </row>
    <row r="13" spans="1:15" x14ac:dyDescent="0.25">
      <c r="A13" s="395" t="s">
        <v>93</v>
      </c>
      <c r="B13" s="395"/>
      <c r="C13" s="395"/>
      <c r="D13" s="395"/>
      <c r="E13" s="395"/>
      <c r="F13" s="395"/>
      <c r="G13" s="395"/>
      <c r="H13" s="395"/>
      <c r="I13" s="395"/>
      <c r="J13" s="395"/>
      <c r="K13" s="395"/>
    </row>
    <row r="14" spans="1:15" x14ac:dyDescent="0.25">
      <c r="A14" s="60"/>
      <c r="B14" s="60"/>
      <c r="C14" s="60"/>
      <c r="D14" s="60"/>
      <c r="E14" s="61" t="s">
        <v>134</v>
      </c>
      <c r="F14" s="80" t="e">
        <f>ВКДатаВК</f>
        <v>#REF!</v>
      </c>
      <c r="G14" s="60"/>
      <c r="H14" s="60"/>
      <c r="I14" s="60"/>
      <c r="J14" s="60"/>
      <c r="K14" s="60"/>
    </row>
    <row r="15" spans="1:15" x14ac:dyDescent="0.25">
      <c r="A15" s="32" t="s">
        <v>94</v>
      </c>
      <c r="B15" s="32"/>
      <c r="C15" s="32"/>
      <c r="D15" s="32"/>
      <c r="E15" s="32"/>
      <c r="F15" s="32"/>
      <c r="G15" s="32"/>
      <c r="H15" s="32"/>
      <c r="I15" s="32"/>
      <c r="J15" s="34"/>
      <c r="K15" s="32"/>
    </row>
    <row r="16" spans="1:15" x14ac:dyDescent="0.25">
      <c r="A16" s="35" t="s">
        <v>95</v>
      </c>
      <c r="B16" s="35"/>
      <c r="C16" s="35"/>
      <c r="D16" s="404" t="str">
        <f>Инфо!B37</f>
        <v>Начальник участка ООО «Нефтегазстрой» Арсланов А. А.</v>
      </c>
      <c r="E16" s="404"/>
      <c r="F16" s="404"/>
      <c r="G16" s="404"/>
      <c r="H16" s="404"/>
      <c r="I16" s="404"/>
      <c r="J16" s="404"/>
      <c r="K16" s="404"/>
    </row>
    <row r="17" spans="1:15" x14ac:dyDescent="0.25">
      <c r="A17" s="36"/>
      <c r="B17" s="35"/>
      <c r="C17" s="35"/>
      <c r="D17" s="402" t="s">
        <v>96</v>
      </c>
      <c r="E17" s="402"/>
      <c r="F17" s="402"/>
      <c r="G17" s="402"/>
      <c r="H17" s="402"/>
      <c r="I17" s="402"/>
      <c r="J17" s="402"/>
      <c r="K17" s="402"/>
    </row>
    <row r="18" spans="1:15" x14ac:dyDescent="0.25">
      <c r="A18" s="35" t="s">
        <v>97</v>
      </c>
      <c r="B18" s="35"/>
      <c r="C18" s="36"/>
      <c r="D18" s="404" t="str">
        <f>Инфо!B36</f>
        <v>Ведущий инженер по ССК ООО "Нефтегазстрой" Иванов Д.В.</v>
      </c>
      <c r="E18" s="404"/>
      <c r="F18" s="404"/>
      <c r="G18" s="404"/>
      <c r="H18" s="404"/>
      <c r="I18" s="404"/>
      <c r="J18" s="404"/>
      <c r="K18" s="404"/>
      <c r="L18" s="400"/>
      <c r="M18" s="400"/>
      <c r="N18" s="400"/>
      <c r="O18" s="400"/>
    </row>
    <row r="19" spans="1:15" x14ac:dyDescent="0.25">
      <c r="A19" s="36"/>
      <c r="B19" s="35"/>
      <c r="C19" s="35"/>
      <c r="D19" s="402" t="s">
        <v>96</v>
      </c>
      <c r="E19" s="402"/>
      <c r="F19" s="402"/>
      <c r="G19" s="402"/>
      <c r="H19" s="402"/>
      <c r="I19" s="402"/>
      <c r="J19" s="402"/>
      <c r="K19" s="402"/>
      <c r="L19" s="37"/>
      <c r="M19" s="37"/>
      <c r="N19" s="37"/>
      <c r="O19" s="37"/>
    </row>
    <row r="20" spans="1:15" x14ac:dyDescent="0.25">
      <c r="A20" s="35" t="s">
        <v>98</v>
      </c>
      <c r="B20" s="35"/>
      <c r="C20" s="36"/>
      <c r="D20" s="404" t="str">
        <f>Инфо!B35</f>
        <v>Начальник отдела СК ООО "Газпром газораспределение Самара"  Фомин Д.В.</v>
      </c>
      <c r="E20" s="404"/>
      <c r="F20" s="404"/>
      <c r="G20" s="404"/>
      <c r="H20" s="404"/>
      <c r="I20" s="404"/>
      <c r="J20" s="404"/>
      <c r="K20" s="404"/>
      <c r="L20" s="37"/>
      <c r="M20" s="37"/>
      <c r="N20" s="37"/>
      <c r="O20" s="37"/>
    </row>
    <row r="21" spans="1:15" x14ac:dyDescent="0.25">
      <c r="A21" s="36"/>
      <c r="B21" s="35"/>
      <c r="C21" s="35"/>
      <c r="D21" s="402" t="s">
        <v>96</v>
      </c>
      <c r="E21" s="402"/>
      <c r="F21" s="402"/>
      <c r="G21" s="402"/>
      <c r="H21" s="402"/>
      <c r="I21" s="402"/>
      <c r="J21" s="402"/>
      <c r="K21" s="402"/>
      <c r="L21" s="37"/>
      <c r="M21" s="37"/>
      <c r="N21" s="37"/>
      <c r="O21" s="37"/>
    </row>
    <row r="22" spans="1:15" x14ac:dyDescent="0.25">
      <c r="A22" s="36" t="s">
        <v>99</v>
      </c>
      <c r="B22" s="36"/>
      <c r="C22" s="36"/>
      <c r="D22" s="403" t="s">
        <v>100</v>
      </c>
      <c r="E22" s="403"/>
      <c r="F22" s="403"/>
      <c r="G22" s="403"/>
      <c r="H22" s="403"/>
      <c r="I22" s="403"/>
      <c r="J22" s="403"/>
      <c r="K22" s="403"/>
      <c r="L22" s="37"/>
      <c r="M22" s="37"/>
      <c r="N22" s="37"/>
      <c r="O22" s="37"/>
    </row>
    <row r="23" spans="1:15" x14ac:dyDescent="0.25">
      <c r="A23" s="36"/>
      <c r="B23" s="36"/>
      <c r="C23" s="36"/>
      <c r="D23" s="402" t="s">
        <v>101</v>
      </c>
      <c r="E23" s="402"/>
      <c r="F23" s="402"/>
      <c r="G23" s="402"/>
      <c r="H23" s="402"/>
      <c r="I23" s="402"/>
      <c r="J23" s="402"/>
      <c r="K23" s="402"/>
    </row>
    <row r="24" spans="1:15" x14ac:dyDescent="0.25">
      <c r="A24" s="38" t="s">
        <v>102</v>
      </c>
      <c r="B24" s="401" t="str">
        <f>A11</f>
        <v>Бетон БСГ В20 - 10,66м3</v>
      </c>
      <c r="C24" s="401"/>
      <c r="D24" s="401"/>
      <c r="E24" s="401"/>
      <c r="F24" s="401"/>
      <c r="G24" s="401"/>
      <c r="H24" s="401"/>
      <c r="I24" s="401"/>
      <c r="J24" s="401"/>
      <c r="K24" s="401"/>
    </row>
    <row r="25" spans="1:15" x14ac:dyDescent="0.25">
      <c r="A25" s="32"/>
      <c r="B25" s="402" t="s">
        <v>103</v>
      </c>
      <c r="C25" s="402"/>
      <c r="D25" s="402"/>
      <c r="E25" s="402"/>
      <c r="F25" s="402"/>
      <c r="G25" s="402"/>
      <c r="H25" s="402"/>
      <c r="I25" s="402"/>
      <c r="J25" s="402"/>
      <c r="K25" s="402"/>
      <c r="L25" s="400"/>
      <c r="M25" s="400"/>
      <c r="N25" s="400"/>
      <c r="O25" s="400"/>
    </row>
    <row r="26" spans="1:15" ht="30.75" customHeight="1" x14ac:dyDescent="0.25">
      <c r="A26" s="39" t="s">
        <v>104</v>
      </c>
      <c r="B26" s="32"/>
      <c r="C26" s="32"/>
      <c r="D26" s="401" t="e">
        <f>Работы!#REF!</f>
        <v>#REF!</v>
      </c>
      <c r="E26" s="401"/>
      <c r="F26" s="401"/>
      <c r="G26" s="401"/>
      <c r="H26" s="401"/>
      <c r="I26" s="401"/>
      <c r="J26" s="401"/>
      <c r="K26" s="401"/>
      <c r="O26" s="22"/>
    </row>
    <row r="27" spans="1:15" x14ac:dyDescent="0.25">
      <c r="A27" s="32"/>
      <c r="B27" s="32"/>
      <c r="C27" s="32"/>
      <c r="D27" s="32"/>
      <c r="E27" s="32"/>
      <c r="F27" s="32"/>
      <c r="G27" s="33" t="s">
        <v>105</v>
      </c>
      <c r="H27" s="40"/>
      <c r="I27" s="32"/>
      <c r="J27" s="32"/>
      <c r="K27" s="32"/>
      <c r="O27" s="22"/>
    </row>
    <row r="28" spans="1:15" ht="15" customHeight="1" x14ac:dyDescent="0.25">
      <c r="A28" s="32" t="s">
        <v>106</v>
      </c>
      <c r="B28" s="32"/>
      <c r="C28" s="32"/>
      <c r="D28" s="413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E28" s="413"/>
      <c r="F28" s="413"/>
      <c r="G28" s="413"/>
      <c r="H28" s="413"/>
      <c r="I28" s="413"/>
      <c r="J28" s="413"/>
      <c r="K28" s="413"/>
    </row>
    <row r="29" spans="1:15" x14ac:dyDescent="0.25">
      <c r="A29" s="32"/>
      <c r="B29" s="32"/>
      <c r="C29" s="32"/>
      <c r="D29" s="32"/>
      <c r="E29" s="32"/>
      <c r="F29" s="32"/>
      <c r="G29" s="33" t="s">
        <v>107</v>
      </c>
      <c r="H29" s="32"/>
      <c r="I29" s="32"/>
      <c r="J29" s="32"/>
      <c r="K29" s="32"/>
      <c r="L29" s="41"/>
    </row>
    <row r="30" spans="1:15" x14ac:dyDescent="0.25">
      <c r="A30" s="32" t="s">
        <v>108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400"/>
      <c r="M30" s="400"/>
      <c r="N30" s="400"/>
      <c r="O30" s="400"/>
    </row>
    <row r="31" spans="1:15" x14ac:dyDescent="0.25">
      <c r="A31" s="405"/>
      <c r="B31" s="405"/>
      <c r="C31" s="405"/>
      <c r="D31" s="405"/>
      <c r="E31" s="405"/>
      <c r="F31" s="405"/>
      <c r="G31" s="405"/>
      <c r="H31" s="405"/>
      <c r="I31" s="405"/>
      <c r="J31" s="405"/>
      <c r="K31" s="405"/>
    </row>
    <row r="32" spans="1:15" x14ac:dyDescent="0.25">
      <c r="A32" s="32"/>
      <c r="B32" s="32"/>
      <c r="C32" s="32"/>
      <c r="D32" s="32"/>
      <c r="E32" s="32"/>
      <c r="F32" s="33" t="s">
        <v>109</v>
      </c>
      <c r="G32" s="32"/>
      <c r="H32" s="32"/>
      <c r="I32" s="32"/>
      <c r="J32" s="32"/>
      <c r="K32" s="32"/>
    </row>
    <row r="33" spans="1:15" x14ac:dyDescent="0.25">
      <c r="A33" s="32" t="s">
        <v>110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O33" s="22"/>
    </row>
    <row r="34" spans="1:15" x14ac:dyDescent="0.25">
      <c r="A34" s="405" t="s">
        <v>684</v>
      </c>
      <c r="B34" s="405"/>
      <c r="C34" s="405"/>
      <c r="D34" s="405"/>
      <c r="E34" s="405"/>
      <c r="F34" s="405"/>
      <c r="G34" s="405"/>
      <c r="H34" s="405"/>
      <c r="I34" s="405"/>
      <c r="J34" s="405"/>
      <c r="K34" s="405"/>
      <c r="O34" s="22"/>
    </row>
    <row r="35" spans="1:15" x14ac:dyDescent="0.25">
      <c r="A35" s="32"/>
      <c r="B35" s="32"/>
      <c r="C35" s="32"/>
      <c r="D35" s="32"/>
      <c r="E35" s="32"/>
      <c r="F35" s="33" t="s">
        <v>111</v>
      </c>
      <c r="G35" s="32"/>
      <c r="H35" s="32"/>
      <c r="I35" s="32"/>
      <c r="J35" s="32"/>
      <c r="K35" s="32"/>
      <c r="O35" s="22"/>
    </row>
    <row r="36" spans="1:15" x14ac:dyDescent="0.25">
      <c r="A36" s="38" t="s">
        <v>112</v>
      </c>
      <c r="B36" s="42"/>
      <c r="D36" s="406" t="str">
        <f>B24</f>
        <v>Бетон БСГ В20 - 10,66м3</v>
      </c>
      <c r="E36" s="406"/>
      <c r="F36" s="406"/>
      <c r="G36" s="406"/>
      <c r="H36" s="406"/>
      <c r="I36" s="406"/>
      <c r="J36" s="406"/>
      <c r="K36" s="406"/>
    </row>
    <row r="37" spans="1:15" x14ac:dyDescent="0.25">
      <c r="A37" s="32"/>
      <c r="B37" s="32"/>
      <c r="C37" s="32"/>
      <c r="D37" s="32"/>
      <c r="E37" s="32"/>
      <c r="G37" s="33" t="s">
        <v>113</v>
      </c>
      <c r="H37" s="32"/>
      <c r="I37" s="32"/>
      <c r="J37" s="32"/>
      <c r="K37" s="32"/>
    </row>
    <row r="38" spans="1:15" x14ac:dyDescent="0.25">
      <c r="A38" s="43" t="s">
        <v>114</v>
      </c>
      <c r="B38" s="32"/>
      <c r="C38" s="32"/>
      <c r="D38" s="32"/>
      <c r="E38" s="407" t="s">
        <v>117</v>
      </c>
      <c r="F38" s="407"/>
      <c r="G38" s="407"/>
      <c r="H38" s="407"/>
      <c r="I38" s="407"/>
      <c r="J38" s="407"/>
      <c r="K38" s="407"/>
    </row>
    <row r="39" spans="1:15" x14ac:dyDescent="0.25">
      <c r="A39" s="32"/>
      <c r="B39" s="32"/>
      <c r="C39" s="32"/>
      <c r="D39" s="32"/>
      <c r="E39" s="32"/>
      <c r="F39" s="32"/>
      <c r="G39" s="32"/>
      <c r="H39" s="33" t="s">
        <v>115</v>
      </c>
      <c r="I39" s="32"/>
      <c r="J39" s="32"/>
      <c r="K39" s="32"/>
      <c r="O39" s="22"/>
    </row>
    <row r="40" spans="1:15" x14ac:dyDescent="0.25">
      <c r="A40" s="32" t="s">
        <v>116</v>
      </c>
      <c r="B40" s="32"/>
      <c r="C40" s="32"/>
      <c r="D40" s="32"/>
      <c r="E40" s="32"/>
      <c r="F40" s="32"/>
      <c r="G40" s="412" t="s">
        <v>117</v>
      </c>
      <c r="H40" s="412"/>
      <c r="I40" s="412"/>
      <c r="J40" s="412"/>
      <c r="K40" s="412"/>
      <c r="O40" s="22"/>
    </row>
    <row r="41" spans="1:15" x14ac:dyDescent="0.25">
      <c r="A41" s="32"/>
      <c r="B41" s="32"/>
      <c r="C41" s="32"/>
      <c r="D41" s="32"/>
      <c r="E41" s="32"/>
      <c r="F41" s="32"/>
      <c r="G41" s="32"/>
      <c r="H41" s="32"/>
      <c r="I41" s="33" t="s">
        <v>118</v>
      </c>
      <c r="J41" s="32"/>
      <c r="K41" s="32"/>
    </row>
    <row r="42" spans="1:15" ht="32.25" customHeight="1" x14ac:dyDescent="0.25">
      <c r="A42" s="39" t="s">
        <v>119</v>
      </c>
      <c r="B42" s="39"/>
      <c r="C42" s="32"/>
      <c r="D42" s="401" t="e">
        <f>D26</f>
        <v>#REF!</v>
      </c>
      <c r="E42" s="401"/>
      <c r="F42" s="401"/>
      <c r="G42" s="401"/>
      <c r="H42" s="401"/>
      <c r="I42" s="401"/>
      <c r="J42" s="401"/>
      <c r="K42" s="401"/>
    </row>
    <row r="43" spans="1:15" ht="30.75" customHeight="1" x14ac:dyDescent="0.25">
      <c r="A43" s="38" t="s">
        <v>120</v>
      </c>
      <c r="B43" s="39"/>
      <c r="C43" s="32"/>
      <c r="D43" s="44"/>
      <c r="E43" s="409" t="str">
        <f>A34</f>
        <v>документ о качестве бетонной смеси №8019 от 29.03.2023г.</v>
      </c>
      <c r="F43" s="409"/>
      <c r="G43" s="409"/>
      <c r="H43" s="409"/>
      <c r="I43" s="409"/>
      <c r="J43" s="409"/>
      <c r="K43" s="409"/>
    </row>
    <row r="44" spans="1:15" x14ac:dyDescent="0.25">
      <c r="A44" s="45" t="s">
        <v>121</v>
      </c>
      <c r="B44" s="46"/>
      <c r="C44" s="46"/>
      <c r="D44" s="46"/>
      <c r="E44" s="46"/>
      <c r="F44" s="46"/>
      <c r="G44" s="46"/>
      <c r="H44" s="33" t="s">
        <v>122</v>
      </c>
      <c r="I44" s="46"/>
      <c r="J44" s="46"/>
      <c r="K44" s="46"/>
    </row>
    <row r="45" spans="1:15" x14ac:dyDescent="0.25">
      <c r="B45" s="32"/>
      <c r="C45" s="32"/>
      <c r="D45" s="32"/>
      <c r="E45" s="32"/>
      <c r="G45" s="32"/>
      <c r="H45" s="32"/>
      <c r="I45" s="32"/>
      <c r="J45" s="32"/>
      <c r="K45" s="32"/>
    </row>
    <row r="46" spans="1:15" x14ac:dyDescent="0.25">
      <c r="A46" s="32" t="s">
        <v>123</v>
      </c>
      <c r="C46" s="32"/>
      <c r="D46" s="32"/>
      <c r="E46" s="32"/>
      <c r="F46" s="51" t="s">
        <v>124</v>
      </c>
      <c r="G46" s="48"/>
      <c r="H46" s="47"/>
      <c r="I46" s="47"/>
      <c r="J46" s="47"/>
      <c r="K46" s="47"/>
    </row>
    <row r="47" spans="1:15" x14ac:dyDescent="0.25">
      <c r="A47" s="32"/>
      <c r="B47" s="32"/>
      <c r="C47" s="32"/>
      <c r="D47" s="32"/>
      <c r="E47" s="40"/>
      <c r="G47" s="33" t="s">
        <v>125</v>
      </c>
      <c r="I47" s="32"/>
      <c r="J47" s="32"/>
      <c r="K47" s="32"/>
    </row>
    <row r="48" spans="1:15" ht="30.75" customHeight="1" x14ac:dyDescent="0.25">
      <c r="A48" s="32" t="s">
        <v>126</v>
      </c>
      <c r="B48" s="32"/>
      <c r="C48" s="32"/>
      <c r="D48" s="32"/>
      <c r="E48" s="401" t="e">
        <f>D26</f>
        <v>#REF!</v>
      </c>
      <c r="F48" s="401"/>
      <c r="G48" s="401"/>
      <c r="H48" s="401"/>
      <c r="I48" s="401"/>
      <c r="J48" s="401"/>
      <c r="K48" s="401"/>
    </row>
    <row r="49" spans="1:15" x14ac:dyDescent="0.25">
      <c r="A49" s="38" t="s">
        <v>127</v>
      </c>
      <c r="B49" s="32"/>
      <c r="C49" s="32"/>
      <c r="D49" s="401"/>
      <c r="E49" s="401"/>
      <c r="F49" s="401"/>
      <c r="G49" s="401"/>
      <c r="H49" s="401"/>
      <c r="I49" s="401"/>
      <c r="J49" s="401"/>
      <c r="K49" s="401"/>
    </row>
    <row r="50" spans="1:15" x14ac:dyDescent="0.25">
      <c r="A50" s="43"/>
      <c r="B50" s="32"/>
      <c r="C50" s="32"/>
      <c r="D50" s="49"/>
      <c r="E50" s="49"/>
      <c r="F50" s="49"/>
      <c r="G50" s="49"/>
      <c r="H50" s="49"/>
      <c r="I50" s="49"/>
      <c r="J50" s="49"/>
      <c r="K50" s="49"/>
    </row>
    <row r="51" spans="1:15" x14ac:dyDescent="0.25">
      <c r="A51" s="32" t="s">
        <v>128</v>
      </c>
      <c r="B51" s="32"/>
      <c r="C51" s="32"/>
      <c r="D51" s="32"/>
      <c r="E51" s="32"/>
      <c r="F51" s="51" t="str">
        <f>Инфо!C37</f>
        <v>Арсланов А. А.</v>
      </c>
      <c r="G51" s="47"/>
      <c r="H51" s="47"/>
      <c r="I51" s="47"/>
      <c r="J51" s="410" t="e">
        <f>F14</f>
        <v>#REF!</v>
      </c>
      <c r="K51" s="410"/>
    </row>
    <row r="52" spans="1:15" x14ac:dyDescent="0.25">
      <c r="A52" s="32"/>
      <c r="B52" s="32"/>
      <c r="C52" s="32"/>
      <c r="D52" s="32"/>
      <c r="E52" s="32"/>
      <c r="F52" s="411" t="s">
        <v>129</v>
      </c>
      <c r="G52" s="411"/>
      <c r="H52" s="411"/>
      <c r="I52" s="411"/>
      <c r="J52" s="411"/>
      <c r="K52" s="411"/>
    </row>
    <row r="53" spans="1:15" x14ac:dyDescent="0.25">
      <c r="A53" s="32" t="s">
        <v>130</v>
      </c>
      <c r="B53" s="50"/>
      <c r="C53" s="50"/>
      <c r="D53" s="50"/>
      <c r="E53" s="50"/>
      <c r="F53" s="51" t="str">
        <f>Инфо!C36</f>
        <v>Иванов Д.В.</v>
      </c>
      <c r="G53" s="47"/>
      <c r="H53" s="47"/>
      <c r="I53" s="47"/>
      <c r="J53" s="410" t="e">
        <f>J51</f>
        <v>#REF!</v>
      </c>
      <c r="K53" s="410"/>
    </row>
    <row r="54" spans="1:15" x14ac:dyDescent="0.25">
      <c r="A54" s="52"/>
      <c r="B54" s="52"/>
      <c r="C54" s="52"/>
      <c r="D54" s="52"/>
      <c r="E54" s="52"/>
      <c r="F54" s="411" t="s">
        <v>129</v>
      </c>
      <c r="G54" s="411"/>
      <c r="H54" s="411"/>
      <c r="I54" s="411"/>
      <c r="J54" s="411"/>
      <c r="K54" s="411"/>
    </row>
    <row r="55" spans="1:15" x14ac:dyDescent="0.25">
      <c r="A55" s="32" t="s">
        <v>131</v>
      </c>
      <c r="B55" s="32"/>
      <c r="C55" s="32"/>
      <c r="D55" s="32"/>
      <c r="E55" s="32"/>
      <c r="F55" s="51" t="str">
        <f>Инфо!C35</f>
        <v>Фомин Д.В.</v>
      </c>
      <c r="G55" s="47"/>
      <c r="H55" s="47"/>
      <c r="I55" s="47"/>
      <c r="J55" s="410" t="e">
        <f>J51</f>
        <v>#REF!</v>
      </c>
      <c r="K55" s="410"/>
    </row>
    <row r="56" spans="1:15" x14ac:dyDescent="0.25">
      <c r="A56" s="32"/>
      <c r="B56" s="32"/>
      <c r="C56" s="32"/>
      <c r="D56" s="32"/>
      <c r="E56" s="32"/>
      <c r="F56" s="411" t="s">
        <v>129</v>
      </c>
      <c r="G56" s="411"/>
      <c r="H56" s="411"/>
      <c r="I56" s="411"/>
      <c r="J56" s="411"/>
      <c r="K56" s="411"/>
    </row>
    <row r="57" spans="1:15" x14ac:dyDescent="0.25">
      <c r="A57" s="408"/>
      <c r="B57" s="408"/>
      <c r="C57" s="408"/>
      <c r="D57" s="408"/>
      <c r="E57" s="408"/>
      <c r="L57" s="25"/>
      <c r="M57" s="25"/>
      <c r="N57" s="25"/>
      <c r="O57" s="22"/>
    </row>
    <row r="58" spans="1:15" x14ac:dyDescent="0.25">
      <c r="G58" s="32" t="s">
        <v>188</v>
      </c>
      <c r="L58" s="53"/>
      <c r="M58" s="53"/>
      <c r="N58" s="53"/>
      <c r="O58" s="22"/>
    </row>
    <row r="59" spans="1:15" x14ac:dyDescent="0.25">
      <c r="L59" s="53"/>
      <c r="M59" s="53"/>
      <c r="N59" s="53"/>
      <c r="O59" s="22"/>
    </row>
    <row r="60" spans="1:15" x14ac:dyDescent="0.25">
      <c r="L60" s="53"/>
      <c r="M60" s="53"/>
      <c r="N60" s="53"/>
      <c r="O60" s="25"/>
    </row>
    <row r="61" spans="1:15" x14ac:dyDescent="0.25">
      <c r="B61" s="25"/>
      <c r="L61" s="25"/>
      <c r="M61" s="25"/>
      <c r="N61" s="25"/>
      <c r="O61" s="25"/>
    </row>
    <row r="62" spans="1:15" x14ac:dyDescent="0.25">
      <c r="B62" s="53"/>
      <c r="O62" s="22"/>
    </row>
    <row r="63" spans="1:15" x14ac:dyDescent="0.25">
      <c r="B63" s="25"/>
      <c r="O63" s="22"/>
    </row>
    <row r="64" spans="1:15" x14ac:dyDescent="0.25">
      <c r="O64" s="22"/>
    </row>
    <row r="65" spans="2:15" x14ac:dyDescent="0.25">
      <c r="O65" s="22"/>
    </row>
    <row r="66" spans="2:15" x14ac:dyDescent="0.25">
      <c r="B66" s="54"/>
      <c r="O66" s="22"/>
    </row>
    <row r="67" spans="2:15" x14ac:dyDescent="0.25">
      <c r="B67" s="54"/>
      <c r="O67" s="22"/>
    </row>
    <row r="68" spans="2:15" x14ac:dyDescent="0.25">
      <c r="B68" s="54"/>
      <c r="O68" s="22"/>
    </row>
    <row r="69" spans="2:15" x14ac:dyDescent="0.25">
      <c r="B69" s="54"/>
    </row>
    <row r="70" spans="2:15" x14ac:dyDescent="0.25">
      <c r="B70" s="54"/>
    </row>
    <row r="71" spans="2:15" x14ac:dyDescent="0.25">
      <c r="B71" s="54"/>
    </row>
    <row r="72" spans="2:15" x14ac:dyDescent="0.25">
      <c r="B72" s="54"/>
    </row>
    <row r="73" spans="2:15" x14ac:dyDescent="0.25">
      <c r="B73" s="54"/>
    </row>
    <row r="74" spans="2:15" x14ac:dyDescent="0.25">
      <c r="B74" s="54"/>
    </row>
    <row r="75" spans="2:15" x14ac:dyDescent="0.25">
      <c r="B75" s="54"/>
    </row>
    <row r="76" spans="2:15" x14ac:dyDescent="0.25">
      <c r="B76" s="54"/>
    </row>
    <row r="77" spans="2:15" x14ac:dyDescent="0.25">
      <c r="B77" s="54"/>
    </row>
    <row r="78" spans="2:15" x14ac:dyDescent="0.25">
      <c r="B78" s="54"/>
      <c r="H78" s="22" t="s">
        <v>132</v>
      </c>
    </row>
    <row r="79" spans="2:15" x14ac:dyDescent="0.25">
      <c r="B79" s="54"/>
    </row>
    <row r="80" spans="2:15" x14ac:dyDescent="0.25">
      <c r="B80" s="54"/>
    </row>
    <row r="81" spans="2:2" x14ac:dyDescent="0.25">
      <c r="B81" s="54"/>
    </row>
    <row r="82" spans="2:2" x14ac:dyDescent="0.25">
      <c r="B82" s="54"/>
    </row>
    <row r="83" spans="2:2" x14ac:dyDescent="0.25">
      <c r="B83" s="54"/>
    </row>
    <row r="84" spans="2:2" x14ac:dyDescent="0.25">
      <c r="B84" s="54"/>
    </row>
    <row r="85" spans="2:2" x14ac:dyDescent="0.25">
      <c r="B85" s="54"/>
    </row>
    <row r="86" spans="2:2" x14ac:dyDescent="0.25">
      <c r="B86" s="54"/>
    </row>
    <row r="87" spans="2:2" x14ac:dyDescent="0.25">
      <c r="B87" s="54"/>
    </row>
    <row r="88" spans="2:2" x14ac:dyDescent="0.25">
      <c r="B88" s="54"/>
    </row>
    <row r="89" spans="2:2" x14ac:dyDescent="0.25">
      <c r="B89" s="54"/>
    </row>
    <row r="90" spans="2:2" x14ac:dyDescent="0.25">
      <c r="B90" s="54"/>
    </row>
    <row r="91" spans="2:2" x14ac:dyDescent="0.25">
      <c r="B91" s="54"/>
    </row>
    <row r="92" spans="2:2" x14ac:dyDescent="0.25">
      <c r="B92" s="54"/>
    </row>
    <row r="93" spans="2:2" x14ac:dyDescent="0.25">
      <c r="B93" s="54"/>
    </row>
    <row r="94" spans="2:2" x14ac:dyDescent="0.25">
      <c r="B94" s="54"/>
    </row>
    <row r="95" spans="2:2" x14ac:dyDescent="0.25">
      <c r="B95" s="54"/>
    </row>
    <row r="96" spans="2:2" x14ac:dyDescent="0.25">
      <c r="B96" s="54"/>
    </row>
    <row r="97" spans="2:2" x14ac:dyDescent="0.25">
      <c r="B97" s="54"/>
    </row>
    <row r="98" spans="2:2" x14ac:dyDescent="0.25">
      <c r="B98" s="54"/>
    </row>
    <row r="99" spans="2:2" x14ac:dyDescent="0.25">
      <c r="B99" s="54"/>
    </row>
    <row r="100" spans="2:2" x14ac:dyDescent="0.25">
      <c r="B100" s="54"/>
    </row>
    <row r="101" spans="2:2" x14ac:dyDescent="0.25">
      <c r="B101" s="54"/>
    </row>
    <row r="102" spans="2:2" x14ac:dyDescent="0.25">
      <c r="B102" s="54"/>
    </row>
    <row r="103" spans="2:2" x14ac:dyDescent="0.25">
      <c r="B103" s="54"/>
    </row>
    <row r="104" spans="2:2" x14ac:dyDescent="0.25">
      <c r="B104" s="54"/>
    </row>
    <row r="105" spans="2:2" x14ac:dyDescent="0.25">
      <c r="B105" s="54"/>
    </row>
    <row r="106" spans="2:2" x14ac:dyDescent="0.25">
      <c r="B106" s="54"/>
    </row>
    <row r="107" spans="2:2" x14ac:dyDescent="0.25">
      <c r="B107" s="54"/>
    </row>
    <row r="108" spans="2:2" x14ac:dyDescent="0.25">
      <c r="B108" s="54"/>
    </row>
    <row r="109" spans="2:2" x14ac:dyDescent="0.25">
      <c r="B109" s="54"/>
    </row>
    <row r="110" spans="2:2" x14ac:dyDescent="0.25">
      <c r="B110" s="54"/>
    </row>
    <row r="111" spans="2:2" x14ac:dyDescent="0.25">
      <c r="B111" s="54"/>
    </row>
    <row r="112" spans="2:2" x14ac:dyDescent="0.25">
      <c r="B112" s="54"/>
    </row>
  </sheetData>
  <mergeCells count="40">
    <mergeCell ref="G40:K40"/>
    <mergeCell ref="D23:K23"/>
    <mergeCell ref="B24:K24"/>
    <mergeCell ref="B25:K25"/>
    <mergeCell ref="A11:K11"/>
    <mergeCell ref="A13:K13"/>
    <mergeCell ref="D17:K17"/>
    <mergeCell ref="D28:K28"/>
    <mergeCell ref="D16:K16"/>
    <mergeCell ref="A57:E57"/>
    <mergeCell ref="D42:K42"/>
    <mergeCell ref="E43:K43"/>
    <mergeCell ref="E48:K48"/>
    <mergeCell ref="D49:K49"/>
    <mergeCell ref="J51:K51"/>
    <mergeCell ref="F52:K52"/>
    <mergeCell ref="J53:K53"/>
    <mergeCell ref="F54:K54"/>
    <mergeCell ref="J55:K55"/>
    <mergeCell ref="F56:K56"/>
    <mergeCell ref="L30:O30"/>
    <mergeCell ref="A31:K31"/>
    <mergeCell ref="A34:K34"/>
    <mergeCell ref="D36:K36"/>
    <mergeCell ref="E38:K38"/>
    <mergeCell ref="L25:O25"/>
    <mergeCell ref="D26:K26"/>
    <mergeCell ref="L18:O18"/>
    <mergeCell ref="D19:K19"/>
    <mergeCell ref="D21:K21"/>
    <mergeCell ref="D22:K22"/>
    <mergeCell ref="D18:K18"/>
    <mergeCell ref="D20:K20"/>
    <mergeCell ref="A10:K10"/>
    <mergeCell ref="G3:K3"/>
    <mergeCell ref="G4:K4"/>
    <mergeCell ref="B1:D1"/>
    <mergeCell ref="B2:D2"/>
    <mergeCell ref="C3:D3"/>
    <mergeCell ref="B4:D4"/>
  </mergeCells>
  <pageMargins left="0.70866141732283472" right="0.31496062992125984" top="0.39370078740157483" bottom="0.19685039370078741" header="0.31496062992125984" footer="0.31496062992125984"/>
  <pageSetup paperSize="9" scale="75" orientation="portrait" r:id="rId1"/>
  <colBreaks count="1" manualBreakCount="1">
    <brk id="11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"/>
  <sheetViews>
    <sheetView workbookViewId="0">
      <selection activeCell="A75" sqref="A75:L75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O433"/>
  <sheetViews>
    <sheetView zoomScale="70" zoomScaleNormal="70" workbookViewId="0">
      <selection activeCell="A75" sqref="A75:L75"/>
    </sheetView>
  </sheetViews>
  <sheetFormatPr defaultColWidth="9.140625" defaultRowHeight="15" x14ac:dyDescent="0.25"/>
  <cols>
    <col min="1" max="1" width="17.140625" style="82" customWidth="1"/>
    <col min="2" max="2" width="15.5703125" style="82" customWidth="1"/>
    <col min="3" max="3" width="14.85546875" style="82" customWidth="1"/>
    <col min="4" max="4" width="17.42578125" style="82" customWidth="1"/>
    <col min="5" max="5" width="40.28515625" style="82" customWidth="1"/>
    <col min="6" max="6" width="18.5703125" style="82" customWidth="1"/>
    <col min="7" max="7" width="31.28515625" style="82" customWidth="1"/>
    <col min="8" max="8" width="25.28515625" style="82" customWidth="1"/>
    <col min="9" max="9" width="22.85546875" style="82" customWidth="1"/>
    <col min="10" max="10" width="31.140625" style="82" customWidth="1"/>
    <col min="11" max="11" width="17.28515625" style="82" customWidth="1"/>
    <col min="12" max="13" width="18.7109375" style="132" customWidth="1"/>
    <col min="14" max="14" width="22" style="132" customWidth="1"/>
    <col min="15" max="15" width="12.28515625" style="132" customWidth="1"/>
    <col min="16" max="16" width="21.28515625" style="132" customWidth="1"/>
    <col min="17" max="17" width="14" style="132" customWidth="1"/>
    <col min="18" max="19" width="20.7109375" style="132" customWidth="1"/>
    <col min="20" max="16384" width="9.140625" style="14"/>
  </cols>
  <sheetData>
    <row r="1" spans="1:19" ht="27" customHeight="1" thickBot="1" x14ac:dyDescent="0.3"/>
    <row r="2" spans="1:19" ht="30" x14ac:dyDescent="0.25">
      <c r="A2" s="276" t="s">
        <v>53</v>
      </c>
      <c r="B2" s="276" t="s">
        <v>54</v>
      </c>
      <c r="C2" s="276" t="s">
        <v>55</v>
      </c>
      <c r="D2" s="276" t="s">
        <v>67</v>
      </c>
      <c r="E2" s="276" t="s">
        <v>56</v>
      </c>
      <c r="F2" s="276" t="s">
        <v>70</v>
      </c>
      <c r="G2" s="276" t="s">
        <v>57</v>
      </c>
      <c r="H2" s="276" t="s">
        <v>58</v>
      </c>
      <c r="I2" s="276" t="s">
        <v>59</v>
      </c>
      <c r="J2" s="276" t="s">
        <v>69</v>
      </c>
      <c r="K2" s="82" t="s">
        <v>185</v>
      </c>
      <c r="L2" s="147" t="s">
        <v>83</v>
      </c>
      <c r="M2" s="133" t="s">
        <v>135</v>
      </c>
      <c r="N2" s="133" t="s">
        <v>82</v>
      </c>
      <c r="O2" s="133" t="s">
        <v>64</v>
      </c>
      <c r="P2" s="133" t="s">
        <v>66</v>
      </c>
      <c r="Q2" s="133" t="s">
        <v>65</v>
      </c>
      <c r="R2" s="134" t="s">
        <v>136</v>
      </c>
      <c r="S2" s="134" t="s">
        <v>142</v>
      </c>
    </row>
    <row r="3" spans="1:19" ht="13.9" customHeight="1" x14ac:dyDescent="0.25">
      <c r="A3" s="417" t="s">
        <v>1276</v>
      </c>
      <c r="B3" s="418"/>
      <c r="C3" s="418"/>
      <c r="D3" s="418"/>
      <c r="E3" s="418"/>
      <c r="F3" s="418"/>
      <c r="G3" s="418"/>
      <c r="H3" s="418"/>
      <c r="I3" s="418"/>
      <c r="J3" s="419"/>
      <c r="K3" s="125"/>
      <c r="L3" s="136"/>
      <c r="M3" s="91"/>
      <c r="N3" s="91"/>
      <c r="O3" s="91"/>
      <c r="P3" s="91"/>
      <c r="Q3" s="91"/>
      <c r="R3" s="275"/>
      <c r="S3" s="275"/>
    </row>
    <row r="4" spans="1:19" s="84" customFormat="1" ht="45" x14ac:dyDescent="0.25">
      <c r="A4" s="91" t="s">
        <v>1256</v>
      </c>
      <c r="B4" s="109">
        <v>45141</v>
      </c>
      <c r="C4" s="109">
        <v>45143</v>
      </c>
      <c r="D4" s="122" t="s">
        <v>1258</v>
      </c>
      <c r="E4" s="190" t="s">
        <v>1310</v>
      </c>
      <c r="F4" s="91" t="s">
        <v>1271</v>
      </c>
      <c r="G4" s="253" t="s">
        <v>1270</v>
      </c>
      <c r="H4" s="91"/>
      <c r="I4" s="122" t="str">
        <f t="shared" ref="I4:I11" si="0">CONCATENATE("Приложение"," ","№", A4,)</f>
        <v>Приложение №1-ВП</v>
      </c>
      <c r="J4" s="161" t="s">
        <v>1267</v>
      </c>
      <c r="K4" s="155" t="s">
        <v>195</v>
      </c>
      <c r="L4" s="125" t="s">
        <v>223</v>
      </c>
      <c r="M4" s="83">
        <v>44953</v>
      </c>
      <c r="N4" s="82" t="s">
        <v>224</v>
      </c>
      <c r="O4" s="82" t="s">
        <v>308</v>
      </c>
      <c r="P4" s="82" t="s">
        <v>225</v>
      </c>
      <c r="Q4" s="82" t="s">
        <v>226</v>
      </c>
      <c r="R4" s="82" t="s">
        <v>154</v>
      </c>
      <c r="S4" s="82"/>
    </row>
    <row r="5" spans="1:19" s="84" customFormat="1" ht="95.45" customHeight="1" x14ac:dyDescent="0.25">
      <c r="A5" s="276" t="s">
        <v>1261</v>
      </c>
      <c r="B5" s="95">
        <v>45145</v>
      </c>
      <c r="C5" s="95">
        <v>45148</v>
      </c>
      <c r="D5" s="122" t="s">
        <v>1271</v>
      </c>
      <c r="E5" s="157" t="s">
        <v>1320</v>
      </c>
      <c r="F5" s="276" t="s">
        <v>1272</v>
      </c>
      <c r="G5" s="207" t="s">
        <v>1283</v>
      </c>
      <c r="H5" s="276" t="s">
        <v>1277</v>
      </c>
      <c r="I5" s="122" t="str">
        <f>CONCATENATE( " Исполнительная схема 1-СГ, ","Исполнительная схема 1.1-СГ, ", "Исполнительная схема 1.2-СГ",)</f>
        <v xml:space="preserve"> Исполнительная схема 1-СГ, Исполнительная схема 1.1-СГ, Исполнительная схема 1.2-СГ</v>
      </c>
      <c r="J5" s="161" t="s">
        <v>1267</v>
      </c>
      <c r="K5" s="155"/>
      <c r="L5" s="125"/>
      <c r="M5" s="83"/>
      <c r="N5" s="82"/>
      <c r="O5" s="82"/>
      <c r="P5" s="82"/>
      <c r="Q5" s="82"/>
      <c r="R5" s="82"/>
      <c r="S5" s="82"/>
    </row>
    <row r="6" spans="1:19" s="84" customFormat="1" ht="60" x14ac:dyDescent="0.25">
      <c r="A6" s="276" t="s">
        <v>1262</v>
      </c>
      <c r="B6" s="95">
        <v>45148</v>
      </c>
      <c r="C6" s="95">
        <v>45157</v>
      </c>
      <c r="D6" s="91" t="s">
        <v>1272</v>
      </c>
      <c r="E6" s="157" t="s">
        <v>1282</v>
      </c>
      <c r="F6" s="276" t="s">
        <v>1273</v>
      </c>
      <c r="G6" s="207" t="s">
        <v>1290</v>
      </c>
      <c r="H6" s="276" t="s">
        <v>1277</v>
      </c>
      <c r="I6" s="91" t="str">
        <f t="shared" si="0"/>
        <v>Приложение №1-РГ</v>
      </c>
      <c r="J6" s="170" t="s">
        <v>1267</v>
      </c>
      <c r="K6" s="155" t="s">
        <v>195</v>
      </c>
      <c r="L6" s="125" t="s">
        <v>302</v>
      </c>
      <c r="M6" s="83">
        <v>44958</v>
      </c>
      <c r="N6" s="82" t="s">
        <v>224</v>
      </c>
      <c r="O6" s="82" t="s">
        <v>303</v>
      </c>
      <c r="P6" s="82" t="s">
        <v>304</v>
      </c>
      <c r="Q6" s="82" t="s">
        <v>226</v>
      </c>
      <c r="R6" s="82" t="s">
        <v>154</v>
      </c>
      <c r="S6" s="82"/>
    </row>
    <row r="7" spans="1:19" s="84" customFormat="1" ht="60" x14ac:dyDescent="0.25">
      <c r="A7" s="82" t="s">
        <v>1260</v>
      </c>
      <c r="B7" s="83">
        <v>45159</v>
      </c>
      <c r="C7" s="83">
        <v>45169</v>
      </c>
      <c r="D7" s="82" t="s">
        <v>1292</v>
      </c>
      <c r="E7" s="85" t="s">
        <v>1349</v>
      </c>
      <c r="F7" s="82" t="s">
        <v>1307</v>
      </c>
      <c r="G7" s="82" t="s">
        <v>1332</v>
      </c>
      <c r="H7" s="82" t="s">
        <v>1303</v>
      </c>
      <c r="I7" s="82" t="str">
        <f>CONCATENATE("Приложение"," ","№", A7,)</f>
        <v>Приложение №1-ОС</v>
      </c>
      <c r="J7" s="107" t="s">
        <v>1267</v>
      </c>
      <c r="K7" s="155"/>
      <c r="L7" s="125"/>
      <c r="M7" s="83"/>
      <c r="N7" s="82"/>
      <c r="O7" s="82"/>
      <c r="P7" s="82"/>
      <c r="Q7" s="82"/>
      <c r="R7" s="82"/>
      <c r="S7" s="82"/>
    </row>
    <row r="8" spans="1:19" s="84" customFormat="1" ht="88.9" customHeight="1" x14ac:dyDescent="0.25">
      <c r="A8" s="82" t="s">
        <v>1259</v>
      </c>
      <c r="B8" s="83">
        <v>45159</v>
      </c>
      <c r="C8" s="83">
        <v>45169</v>
      </c>
      <c r="D8" s="82" t="s">
        <v>1295</v>
      </c>
      <c r="E8" s="123" t="s">
        <v>1350</v>
      </c>
      <c r="F8" s="122" t="s">
        <v>1278</v>
      </c>
      <c r="G8" s="82" t="s">
        <v>1308</v>
      </c>
      <c r="H8" s="82" t="s">
        <v>1303</v>
      </c>
      <c r="I8" s="82" t="str">
        <f>CONCATENATE("Приложение"," ","№", A8,)</f>
        <v>Приложение №1-НИ</v>
      </c>
      <c r="J8" s="107" t="s">
        <v>1267</v>
      </c>
      <c r="K8" s="155"/>
      <c r="L8" s="125"/>
      <c r="M8" s="83"/>
      <c r="N8" s="82"/>
      <c r="O8" s="82"/>
      <c r="P8" s="82"/>
      <c r="Q8" s="82"/>
      <c r="R8" s="82"/>
      <c r="S8" s="82"/>
    </row>
    <row r="9" spans="1:19" s="84" customFormat="1" ht="150" x14ac:dyDescent="0.25">
      <c r="A9" s="276" t="s">
        <v>1263</v>
      </c>
      <c r="B9" s="95">
        <v>45169</v>
      </c>
      <c r="C9" s="95">
        <v>45169</v>
      </c>
      <c r="D9" s="122" t="s">
        <v>1278</v>
      </c>
      <c r="E9" s="157" t="s">
        <v>1348</v>
      </c>
      <c r="F9" s="122" t="s">
        <v>1280</v>
      </c>
      <c r="G9" s="254" t="s">
        <v>1331</v>
      </c>
      <c r="H9" s="276" t="s">
        <v>1277</v>
      </c>
      <c r="I9" s="122" t="str">
        <f t="shared" si="0"/>
        <v>Приложение №1-УТ</v>
      </c>
      <c r="J9" s="161" t="s">
        <v>1267</v>
      </c>
      <c r="K9" s="155" t="s">
        <v>195</v>
      </c>
      <c r="L9" s="125" t="s">
        <v>305</v>
      </c>
      <c r="M9" s="83">
        <v>44964</v>
      </c>
      <c r="N9" s="82" t="s">
        <v>310</v>
      </c>
      <c r="O9" s="82" t="s">
        <v>307</v>
      </c>
      <c r="P9" s="82" t="s">
        <v>336</v>
      </c>
      <c r="Q9" s="82" t="s">
        <v>226</v>
      </c>
      <c r="R9" s="82" t="s">
        <v>154</v>
      </c>
      <c r="S9" s="82"/>
    </row>
    <row r="10" spans="1:19" s="84" customFormat="1" ht="45" x14ac:dyDescent="0.25">
      <c r="A10" s="276" t="s">
        <v>1264</v>
      </c>
      <c r="B10" s="95">
        <v>45170</v>
      </c>
      <c r="C10" s="95">
        <v>45178</v>
      </c>
      <c r="D10" s="122" t="s">
        <v>1280</v>
      </c>
      <c r="E10" s="157" t="s">
        <v>1279</v>
      </c>
      <c r="F10" s="276" t="s">
        <v>1274</v>
      </c>
      <c r="G10" s="207" t="s">
        <v>1314</v>
      </c>
      <c r="H10" s="276" t="s">
        <v>1277</v>
      </c>
      <c r="I10" s="122" t="str">
        <f t="shared" si="0"/>
        <v>Приложение №1-ОЗ</v>
      </c>
      <c r="J10" s="161" t="s">
        <v>1267</v>
      </c>
      <c r="K10" s="155" t="s">
        <v>195</v>
      </c>
      <c r="L10" s="125" t="s">
        <v>306</v>
      </c>
      <c r="M10" s="83">
        <v>44965</v>
      </c>
      <c r="N10" s="82" t="s">
        <v>310</v>
      </c>
      <c r="O10" s="82" t="s">
        <v>308</v>
      </c>
      <c r="P10" s="82" t="s">
        <v>309</v>
      </c>
      <c r="Q10" s="82" t="s">
        <v>226</v>
      </c>
      <c r="R10" s="82" t="s">
        <v>154</v>
      </c>
      <c r="S10" s="82"/>
    </row>
    <row r="11" spans="1:19" s="84" customFormat="1" ht="45" x14ac:dyDescent="0.25">
      <c r="A11" s="276" t="s">
        <v>1265</v>
      </c>
      <c r="B11" s="95">
        <v>45178</v>
      </c>
      <c r="C11" s="95">
        <v>45178</v>
      </c>
      <c r="D11" s="91" t="s">
        <v>1281</v>
      </c>
      <c r="E11" s="157" t="s">
        <v>1321</v>
      </c>
      <c r="F11" s="276" t="s">
        <v>1275</v>
      </c>
      <c r="G11" s="207" t="s">
        <v>1283</v>
      </c>
      <c r="H11" s="276" t="s">
        <v>1277</v>
      </c>
      <c r="I11" s="91" t="str">
        <f t="shared" si="0"/>
        <v>Приложение №1-ТР</v>
      </c>
      <c r="J11" s="170" t="s">
        <v>1267</v>
      </c>
      <c r="K11" s="155" t="s">
        <v>195</v>
      </c>
      <c r="L11" s="125" t="s">
        <v>311</v>
      </c>
      <c r="M11" s="83">
        <v>44966</v>
      </c>
      <c r="N11" s="82" t="s">
        <v>224</v>
      </c>
      <c r="O11" s="82" t="s">
        <v>320</v>
      </c>
      <c r="P11" s="82" t="s">
        <v>312</v>
      </c>
      <c r="Q11" s="82" t="s">
        <v>226</v>
      </c>
      <c r="R11" s="82" t="s">
        <v>154</v>
      </c>
      <c r="S11" s="82"/>
    </row>
    <row r="12" spans="1:19" ht="13.9" customHeight="1" x14ac:dyDescent="0.25">
      <c r="A12" s="420" t="s">
        <v>1324</v>
      </c>
      <c r="B12" s="420"/>
      <c r="C12" s="420"/>
      <c r="D12" s="420"/>
      <c r="E12" s="420"/>
      <c r="F12" s="420"/>
      <c r="G12" s="420"/>
      <c r="H12" s="420"/>
      <c r="I12" s="420"/>
      <c r="J12" s="420"/>
      <c r="K12" s="125"/>
      <c r="L12" s="136"/>
      <c r="M12" s="91"/>
      <c r="N12" s="91"/>
      <c r="O12" s="91"/>
      <c r="P12" s="91"/>
      <c r="Q12" s="91"/>
      <c r="R12" s="275"/>
      <c r="S12" s="275"/>
    </row>
    <row r="13" spans="1:19" s="84" customFormat="1" ht="60" customHeight="1" x14ac:dyDescent="0.25">
      <c r="A13" s="91" t="s">
        <v>1287</v>
      </c>
      <c r="B13" s="109">
        <v>45163</v>
      </c>
      <c r="C13" s="109">
        <v>45163</v>
      </c>
      <c r="D13" s="91" t="s">
        <v>1292</v>
      </c>
      <c r="E13" s="190" t="s">
        <v>1291</v>
      </c>
      <c r="F13" s="91" t="s">
        <v>1268</v>
      </c>
      <c r="G13" s="82" t="s">
        <v>1333</v>
      </c>
      <c r="H13" s="91" t="s">
        <v>1303</v>
      </c>
      <c r="I13" s="82" t="str">
        <f>CONCATENATE("Приложение"," ","№", A13,)</f>
        <v>Приложение №2-ОС</v>
      </c>
      <c r="J13" s="170" t="s">
        <v>1267</v>
      </c>
      <c r="K13" s="155" t="s">
        <v>195</v>
      </c>
      <c r="L13" s="125"/>
      <c r="M13" s="83"/>
      <c r="N13" s="82"/>
      <c r="O13" s="82"/>
      <c r="P13" s="82"/>
      <c r="Q13" s="82"/>
      <c r="R13" s="82"/>
      <c r="S13" s="82"/>
    </row>
    <row r="14" spans="1:19" s="84" customFormat="1" ht="75" x14ac:dyDescent="0.25">
      <c r="A14" s="82" t="s">
        <v>1288</v>
      </c>
      <c r="B14" s="83">
        <v>45163</v>
      </c>
      <c r="C14" s="83">
        <v>45163</v>
      </c>
      <c r="D14" s="82" t="s">
        <v>1295</v>
      </c>
      <c r="E14" s="85" t="s">
        <v>1294</v>
      </c>
      <c r="F14" s="82" t="s">
        <v>1269</v>
      </c>
      <c r="G14" s="82" t="s">
        <v>1309</v>
      </c>
      <c r="H14" s="82" t="s">
        <v>1303</v>
      </c>
      <c r="I14" s="82" t="str">
        <f>CONCATENATE("Приложение"," ","№", A14,)</f>
        <v>Приложение №2-НИ</v>
      </c>
      <c r="J14" s="107" t="s">
        <v>1267</v>
      </c>
      <c r="K14" s="155" t="s">
        <v>195</v>
      </c>
      <c r="L14" s="125" t="s">
        <v>313</v>
      </c>
      <c r="M14" s="83">
        <v>44968</v>
      </c>
      <c r="N14" s="82" t="s">
        <v>224</v>
      </c>
      <c r="O14" s="82" t="s">
        <v>334</v>
      </c>
      <c r="P14" s="82" t="s">
        <v>314</v>
      </c>
      <c r="Q14" s="82" t="s">
        <v>226</v>
      </c>
      <c r="R14" s="82" t="s">
        <v>154</v>
      </c>
      <c r="S14" s="82"/>
    </row>
    <row r="15" spans="1:19" s="84" customFormat="1" ht="90" x14ac:dyDescent="0.25">
      <c r="A15" s="91" t="s">
        <v>1257</v>
      </c>
      <c r="B15" s="109">
        <v>45163</v>
      </c>
      <c r="C15" s="109">
        <v>45163</v>
      </c>
      <c r="D15" s="91" t="s">
        <v>1284</v>
      </c>
      <c r="E15" s="190" t="s">
        <v>1285</v>
      </c>
      <c r="F15" s="91" t="s">
        <v>1286</v>
      </c>
      <c r="G15" s="254" t="s">
        <v>1334</v>
      </c>
      <c r="H15" s="91" t="s">
        <v>1303</v>
      </c>
      <c r="I15" s="82" t="str">
        <f>CONCATENATE("Приложение"," ","№", A15,)</f>
        <v>Приложение №1-ННБ</v>
      </c>
      <c r="J15" s="170" t="s">
        <v>1267</v>
      </c>
      <c r="K15" s="155" t="s">
        <v>195</v>
      </c>
      <c r="L15" s="125" t="s">
        <v>313</v>
      </c>
      <c r="M15" s="83">
        <v>44968</v>
      </c>
      <c r="N15" s="82" t="s">
        <v>224</v>
      </c>
      <c r="O15" s="82" t="s">
        <v>334</v>
      </c>
      <c r="P15" s="82" t="s">
        <v>314</v>
      </c>
      <c r="Q15" s="82" t="s">
        <v>226</v>
      </c>
      <c r="R15" s="82" t="s">
        <v>154</v>
      </c>
      <c r="S15" s="82"/>
    </row>
    <row r="16" spans="1:19" ht="13.9" customHeight="1" x14ac:dyDescent="0.25">
      <c r="A16" s="420" t="s">
        <v>1296</v>
      </c>
      <c r="B16" s="420"/>
      <c r="C16" s="420"/>
      <c r="D16" s="420"/>
      <c r="E16" s="420"/>
      <c r="F16" s="420"/>
      <c r="G16" s="420"/>
      <c r="H16" s="420"/>
      <c r="I16" s="420"/>
      <c r="J16" s="420"/>
      <c r="K16" s="125"/>
      <c r="L16" s="136"/>
      <c r="M16" s="91"/>
      <c r="N16" s="91"/>
      <c r="O16" s="91"/>
      <c r="P16" s="91"/>
      <c r="Q16" s="91"/>
      <c r="R16" s="275"/>
      <c r="S16" s="275"/>
    </row>
    <row r="17" spans="1:19" s="84" customFormat="1" ht="60" customHeight="1" x14ac:dyDescent="0.25">
      <c r="A17" s="91" t="s">
        <v>1298</v>
      </c>
      <c r="B17" s="109">
        <v>45168</v>
      </c>
      <c r="C17" s="109">
        <v>45168</v>
      </c>
      <c r="D17" s="91" t="s">
        <v>1292</v>
      </c>
      <c r="E17" s="277" t="s">
        <v>1335</v>
      </c>
      <c r="F17" s="91" t="s">
        <v>1268</v>
      </c>
      <c r="G17" s="82" t="s">
        <v>1333</v>
      </c>
      <c r="H17" s="91" t="s">
        <v>1302</v>
      </c>
      <c r="I17" s="82" t="str">
        <f>CONCATENATE("Приложение"," ","№", A17,)</f>
        <v>Приложение №3-ОС</v>
      </c>
      <c r="J17" s="170" t="s">
        <v>1267</v>
      </c>
      <c r="K17" s="155" t="s">
        <v>195</v>
      </c>
      <c r="L17" s="125"/>
      <c r="M17" s="83"/>
      <c r="N17" s="82"/>
      <c r="O17" s="82"/>
      <c r="P17" s="82"/>
      <c r="Q17" s="82"/>
      <c r="R17" s="82"/>
      <c r="S17" s="82"/>
    </row>
    <row r="18" spans="1:19" s="84" customFormat="1" ht="150" x14ac:dyDescent="0.25">
      <c r="A18" s="82" t="s">
        <v>1299</v>
      </c>
      <c r="B18" s="83">
        <v>45168</v>
      </c>
      <c r="C18" s="83">
        <v>45168</v>
      </c>
      <c r="D18" s="82" t="s">
        <v>1293</v>
      </c>
      <c r="E18" s="123" t="s">
        <v>1336</v>
      </c>
      <c r="F18" s="82" t="s">
        <v>1269</v>
      </c>
      <c r="G18" s="82" t="s">
        <v>1337</v>
      </c>
      <c r="H18" s="82" t="s">
        <v>1302</v>
      </c>
      <c r="I18" s="82" t="str">
        <f>CONCATENATE("Приложение"," ","№", A18,)</f>
        <v>Приложение №3-НИ</v>
      </c>
      <c r="J18" s="107" t="s">
        <v>1267</v>
      </c>
      <c r="K18" s="155" t="s">
        <v>195</v>
      </c>
      <c r="L18" s="125" t="s">
        <v>313</v>
      </c>
      <c r="M18" s="83">
        <v>44968</v>
      </c>
      <c r="N18" s="82" t="s">
        <v>224</v>
      </c>
      <c r="O18" s="82" t="s">
        <v>334</v>
      </c>
      <c r="P18" s="82" t="s">
        <v>314</v>
      </c>
      <c r="Q18" s="82" t="s">
        <v>226</v>
      </c>
      <c r="R18" s="82" t="s">
        <v>154</v>
      </c>
      <c r="S18" s="82"/>
    </row>
    <row r="19" spans="1:19" s="84" customFormat="1" ht="90" x14ac:dyDescent="0.25">
      <c r="A19" s="91" t="s">
        <v>1289</v>
      </c>
      <c r="B19" s="109">
        <v>45168</v>
      </c>
      <c r="C19" s="109">
        <v>45168</v>
      </c>
      <c r="D19" s="91" t="s">
        <v>1284</v>
      </c>
      <c r="E19" s="190" t="s">
        <v>1301</v>
      </c>
      <c r="F19" s="91" t="s">
        <v>1286</v>
      </c>
      <c r="G19" s="91" t="s">
        <v>1345</v>
      </c>
      <c r="H19" s="91" t="s">
        <v>1302</v>
      </c>
      <c r="I19" s="91" t="str">
        <f>CONCATENATE("Приложение"," ","№", A19,)</f>
        <v>Приложение №2-ННБ</v>
      </c>
      <c r="J19" s="170" t="s">
        <v>1267</v>
      </c>
      <c r="K19" s="155" t="s">
        <v>195</v>
      </c>
      <c r="L19" s="125" t="s">
        <v>313</v>
      </c>
      <c r="M19" s="83">
        <v>44968</v>
      </c>
      <c r="N19" s="82" t="s">
        <v>224</v>
      </c>
      <c r="O19" s="82" t="s">
        <v>334</v>
      </c>
      <c r="P19" s="82" t="s">
        <v>314</v>
      </c>
      <c r="Q19" s="82" t="s">
        <v>226</v>
      </c>
      <c r="R19" s="82" t="s">
        <v>154</v>
      </c>
      <c r="S19" s="82"/>
    </row>
    <row r="20" spans="1:19" ht="13.9" customHeight="1" x14ac:dyDescent="0.25">
      <c r="A20" s="421" t="s">
        <v>1297</v>
      </c>
      <c r="B20" s="421"/>
      <c r="C20" s="421"/>
      <c r="D20" s="421"/>
      <c r="E20" s="421"/>
      <c r="F20" s="421"/>
      <c r="G20" s="421"/>
      <c r="H20" s="421"/>
      <c r="I20" s="421"/>
      <c r="J20" s="421"/>
      <c r="K20" s="125"/>
      <c r="L20" s="136"/>
      <c r="M20" s="91"/>
      <c r="N20" s="91"/>
      <c r="O20" s="91"/>
      <c r="P20" s="91"/>
      <c r="Q20" s="91"/>
      <c r="R20" s="275"/>
      <c r="S20" s="275"/>
    </row>
    <row r="21" spans="1:19" s="84" customFormat="1" ht="69" customHeight="1" x14ac:dyDescent="0.25">
      <c r="A21" s="276" t="s">
        <v>1305</v>
      </c>
      <c r="B21" s="95">
        <v>45173</v>
      </c>
      <c r="C21" s="95">
        <v>45173</v>
      </c>
      <c r="D21" s="276" t="s">
        <v>1292</v>
      </c>
      <c r="E21" s="157" t="s">
        <v>1312</v>
      </c>
      <c r="F21" s="276" t="s">
        <v>1268</v>
      </c>
      <c r="G21" s="82" t="s">
        <v>1333</v>
      </c>
      <c r="H21" s="82" t="s">
        <v>1266</v>
      </c>
      <c r="I21" s="276" t="str">
        <f>CONCATENATE("Приложение"," ","№", A21,)</f>
        <v>Приложение №4-ОС</v>
      </c>
      <c r="J21" s="162" t="s">
        <v>1267</v>
      </c>
      <c r="K21" s="155" t="s">
        <v>195</v>
      </c>
      <c r="L21" s="125"/>
      <c r="M21" s="83"/>
      <c r="N21" s="82"/>
      <c r="O21" s="82"/>
      <c r="P21" s="82"/>
      <c r="Q21" s="82"/>
      <c r="R21" s="82"/>
      <c r="S21" s="82"/>
    </row>
    <row r="22" spans="1:19" s="84" customFormat="1" ht="75" x14ac:dyDescent="0.25">
      <c r="A22" s="82" t="s">
        <v>1306</v>
      </c>
      <c r="B22" s="83">
        <v>45173</v>
      </c>
      <c r="C22" s="83">
        <v>45173</v>
      </c>
      <c r="D22" s="82" t="s">
        <v>1293</v>
      </c>
      <c r="E22" s="123" t="s">
        <v>1313</v>
      </c>
      <c r="F22" s="82" t="s">
        <v>1269</v>
      </c>
      <c r="G22" s="82" t="s">
        <v>1311</v>
      </c>
      <c r="H22" s="82" t="s">
        <v>1302</v>
      </c>
      <c r="I22" s="82" t="str">
        <f>CONCATENATE("Приложение"," ","№", A22,)</f>
        <v>Приложение №4-НИ</v>
      </c>
      <c r="J22" s="107" t="s">
        <v>1267</v>
      </c>
      <c r="K22" s="155" t="s">
        <v>195</v>
      </c>
      <c r="L22" s="125" t="s">
        <v>313</v>
      </c>
      <c r="M22" s="83">
        <v>44968</v>
      </c>
      <c r="N22" s="82" t="s">
        <v>224</v>
      </c>
      <c r="O22" s="82" t="s">
        <v>334</v>
      </c>
      <c r="P22" s="82" t="s">
        <v>314</v>
      </c>
      <c r="Q22" s="82" t="s">
        <v>226</v>
      </c>
      <c r="R22" s="82" t="s">
        <v>154</v>
      </c>
      <c r="S22" s="82"/>
    </row>
    <row r="23" spans="1:19" s="84" customFormat="1" ht="90" x14ac:dyDescent="0.25">
      <c r="A23" s="91" t="s">
        <v>1300</v>
      </c>
      <c r="B23" s="109">
        <v>45173</v>
      </c>
      <c r="C23" s="109">
        <v>45173</v>
      </c>
      <c r="D23" s="91" t="s">
        <v>1284</v>
      </c>
      <c r="E23" s="190" t="s">
        <v>1304</v>
      </c>
      <c r="F23" s="91" t="s">
        <v>1286</v>
      </c>
      <c r="G23" s="192" t="s">
        <v>1344</v>
      </c>
      <c r="H23" s="82" t="s">
        <v>1302</v>
      </c>
      <c r="I23" s="91" t="str">
        <f>CONCATENATE("Приложение"," ","№", A23,)</f>
        <v>Приложение №3-ННБ</v>
      </c>
      <c r="J23" s="170" t="s">
        <v>1267</v>
      </c>
      <c r="K23" s="155" t="s">
        <v>195</v>
      </c>
      <c r="L23" s="125" t="s">
        <v>313</v>
      </c>
      <c r="M23" s="83">
        <v>44968</v>
      </c>
      <c r="N23" s="82" t="s">
        <v>224</v>
      </c>
      <c r="O23" s="82" t="s">
        <v>334</v>
      </c>
      <c r="P23" s="82" t="s">
        <v>314</v>
      </c>
      <c r="Q23" s="82" t="s">
        <v>226</v>
      </c>
      <c r="R23" s="82" t="s">
        <v>154</v>
      </c>
      <c r="S23" s="82"/>
    </row>
    <row r="24" spans="1:19" ht="13.9" customHeight="1" x14ac:dyDescent="0.25">
      <c r="A24" s="420" t="s">
        <v>1323</v>
      </c>
      <c r="B24" s="420"/>
      <c r="C24" s="420"/>
      <c r="D24" s="420"/>
      <c r="E24" s="420"/>
      <c r="F24" s="420"/>
      <c r="G24" s="420"/>
      <c r="H24" s="420"/>
      <c r="I24" s="420"/>
      <c r="J24" s="420"/>
      <c r="K24" s="125"/>
      <c r="L24" s="136"/>
      <c r="M24" s="91"/>
      <c r="N24" s="91"/>
      <c r="O24" s="91"/>
      <c r="P24" s="91"/>
      <c r="Q24" s="91"/>
      <c r="R24" s="275"/>
      <c r="S24" s="275"/>
    </row>
    <row r="25" spans="1:19" s="84" customFormat="1" ht="95.45" customHeight="1" x14ac:dyDescent="0.25">
      <c r="A25" s="91" t="s">
        <v>1315</v>
      </c>
      <c r="B25" s="109">
        <v>45160</v>
      </c>
      <c r="C25" s="109">
        <v>45165</v>
      </c>
      <c r="D25" s="91" t="s">
        <v>1271</v>
      </c>
      <c r="E25" s="190" t="s">
        <v>1325</v>
      </c>
      <c r="F25" s="91" t="s">
        <v>1272</v>
      </c>
      <c r="G25" s="253" t="s">
        <v>1326</v>
      </c>
      <c r="H25" s="91" t="s">
        <v>1330</v>
      </c>
      <c r="I25" s="91" t="str">
        <f>CONCATENATE( " Исполнительная схема 1-СГ, ","Исполнительная схема 1.1-СГ, ", "Исполнительная схема 1.2-СГ",)</f>
        <v xml:space="preserve"> Исполнительная схема 1-СГ, Исполнительная схема 1.1-СГ, Исполнительная схема 1.2-СГ</v>
      </c>
      <c r="J25" s="170" t="s">
        <v>1267</v>
      </c>
      <c r="K25" s="155"/>
      <c r="L25" s="125"/>
      <c r="M25" s="83"/>
      <c r="N25" s="82"/>
      <c r="O25" s="82"/>
      <c r="P25" s="82"/>
      <c r="Q25" s="82"/>
      <c r="R25" s="82"/>
      <c r="S25" s="82"/>
    </row>
    <row r="26" spans="1:19" s="84" customFormat="1" ht="60" x14ac:dyDescent="0.25">
      <c r="A26" s="276" t="s">
        <v>1316</v>
      </c>
      <c r="B26" s="95">
        <v>45168</v>
      </c>
      <c r="C26" s="95">
        <v>45174</v>
      </c>
      <c r="D26" s="276" t="s">
        <v>1272</v>
      </c>
      <c r="E26" s="157" t="s">
        <v>1327</v>
      </c>
      <c r="F26" s="276" t="s">
        <v>1273</v>
      </c>
      <c r="G26" s="207" t="s">
        <v>1328</v>
      </c>
      <c r="H26" s="276" t="s">
        <v>1330</v>
      </c>
      <c r="I26" s="276" t="str">
        <f t="shared" ref="I26" si="1">CONCATENATE("Приложение"," ","№", A26,)</f>
        <v>Приложение №2-РГ</v>
      </c>
      <c r="J26" s="162" t="s">
        <v>1267</v>
      </c>
      <c r="K26" s="155" t="s">
        <v>195</v>
      </c>
      <c r="L26" s="125" t="s">
        <v>302</v>
      </c>
      <c r="M26" s="83">
        <v>44958</v>
      </c>
      <c r="N26" s="82" t="s">
        <v>224</v>
      </c>
      <c r="O26" s="82" t="s">
        <v>303</v>
      </c>
      <c r="P26" s="82" t="s">
        <v>304</v>
      </c>
      <c r="Q26" s="82" t="s">
        <v>226</v>
      </c>
      <c r="R26" s="82" t="s">
        <v>154</v>
      </c>
      <c r="S26" s="82"/>
    </row>
    <row r="27" spans="1:19" s="84" customFormat="1" ht="60" x14ac:dyDescent="0.25">
      <c r="A27" s="276" t="s">
        <v>1342</v>
      </c>
      <c r="B27" s="95">
        <v>45174</v>
      </c>
      <c r="C27" s="95">
        <v>45179</v>
      </c>
      <c r="D27" s="276" t="s">
        <v>1292</v>
      </c>
      <c r="E27" s="157" t="s">
        <v>1341</v>
      </c>
      <c r="F27" s="276" t="s">
        <v>1307</v>
      </c>
      <c r="G27" s="82" t="s">
        <v>1332</v>
      </c>
      <c r="H27" s="276" t="s">
        <v>1338</v>
      </c>
      <c r="I27" s="276" t="str">
        <f>CONCATENATE("Приложение"," ","№", A27,)</f>
        <v>Приложение №5-ОС</v>
      </c>
      <c r="J27" s="162" t="s">
        <v>1267</v>
      </c>
      <c r="K27" s="155"/>
      <c r="L27" s="125"/>
      <c r="M27" s="83"/>
      <c r="N27" s="82"/>
      <c r="O27" s="82"/>
      <c r="P27" s="82"/>
      <c r="Q27" s="82"/>
      <c r="R27" s="82"/>
      <c r="S27" s="82"/>
    </row>
    <row r="28" spans="1:19" s="84" customFormat="1" ht="75" x14ac:dyDescent="0.25">
      <c r="A28" s="82" t="s">
        <v>1343</v>
      </c>
      <c r="B28" s="95">
        <v>45174</v>
      </c>
      <c r="C28" s="95">
        <v>45179</v>
      </c>
      <c r="D28" s="276" t="s">
        <v>1295</v>
      </c>
      <c r="E28" s="191" t="s">
        <v>1351</v>
      </c>
      <c r="F28" s="82" t="s">
        <v>1278</v>
      </c>
      <c r="G28" s="82" t="s">
        <v>1340</v>
      </c>
      <c r="H28" s="82" t="s">
        <v>1338</v>
      </c>
      <c r="I28" s="82" t="str">
        <f>CONCATENATE("Приложение"," ","№", A28,)</f>
        <v>Приложение №5-НИ</v>
      </c>
      <c r="J28" s="107" t="s">
        <v>1267</v>
      </c>
      <c r="K28" s="155"/>
      <c r="L28" s="125"/>
      <c r="M28" s="83"/>
      <c r="N28" s="82"/>
      <c r="O28" s="82"/>
      <c r="P28" s="82"/>
      <c r="Q28" s="82"/>
      <c r="R28" s="82"/>
      <c r="S28" s="82"/>
    </row>
    <row r="29" spans="1:19" s="84" customFormat="1" ht="150" x14ac:dyDescent="0.25">
      <c r="A29" s="91" t="s">
        <v>1317</v>
      </c>
      <c r="B29" s="83">
        <v>45180</v>
      </c>
      <c r="C29" s="83">
        <v>45180</v>
      </c>
      <c r="D29" s="82" t="s">
        <v>1278</v>
      </c>
      <c r="E29" s="85" t="s">
        <v>1347</v>
      </c>
      <c r="F29" s="91" t="s">
        <v>1280</v>
      </c>
      <c r="G29" s="91" t="s">
        <v>1339</v>
      </c>
      <c r="H29" s="91" t="s">
        <v>1330</v>
      </c>
      <c r="I29" s="91" t="str">
        <f t="shared" ref="I29:I43" si="2">CONCATENATE("Приложение"," ","№", A29,)</f>
        <v>Приложение №2-УТ</v>
      </c>
      <c r="J29" s="170" t="s">
        <v>1267</v>
      </c>
      <c r="K29" s="155" t="s">
        <v>195</v>
      </c>
      <c r="L29" s="125" t="s">
        <v>305</v>
      </c>
      <c r="M29" s="83">
        <v>44964</v>
      </c>
      <c r="N29" s="82" t="s">
        <v>310</v>
      </c>
      <c r="O29" s="82" t="s">
        <v>307</v>
      </c>
      <c r="P29" s="82" t="s">
        <v>336</v>
      </c>
      <c r="Q29" s="82" t="s">
        <v>226</v>
      </c>
      <c r="R29" s="82" t="s">
        <v>154</v>
      </c>
      <c r="S29" s="82"/>
    </row>
    <row r="30" spans="1:19" s="84" customFormat="1" ht="45" x14ac:dyDescent="0.25">
      <c r="A30" s="82" t="s">
        <v>1319</v>
      </c>
      <c r="B30" s="83">
        <v>45180</v>
      </c>
      <c r="C30" s="83">
        <v>45181</v>
      </c>
      <c r="D30" s="82" t="s">
        <v>1280</v>
      </c>
      <c r="E30" s="85" t="s">
        <v>1322</v>
      </c>
      <c r="F30" s="82" t="s">
        <v>1274</v>
      </c>
      <c r="G30" s="92" t="s">
        <v>1346</v>
      </c>
      <c r="H30" s="82" t="s">
        <v>1330</v>
      </c>
      <c r="I30" s="82" t="str">
        <f t="shared" si="2"/>
        <v>Приложение №2-ОЗ</v>
      </c>
      <c r="J30" s="107" t="s">
        <v>1267</v>
      </c>
      <c r="K30" s="155" t="s">
        <v>195</v>
      </c>
      <c r="L30" s="125" t="s">
        <v>306</v>
      </c>
      <c r="M30" s="83">
        <v>44965</v>
      </c>
      <c r="N30" s="82" t="s">
        <v>310</v>
      </c>
      <c r="O30" s="82" t="s">
        <v>308</v>
      </c>
      <c r="P30" s="82" t="s">
        <v>309</v>
      </c>
      <c r="Q30" s="82" t="s">
        <v>226</v>
      </c>
      <c r="R30" s="82" t="s">
        <v>154</v>
      </c>
      <c r="S30" s="82"/>
    </row>
    <row r="31" spans="1:19" s="84" customFormat="1" ht="45" x14ac:dyDescent="0.25">
      <c r="A31" s="122" t="s">
        <v>1318</v>
      </c>
      <c r="B31" s="127">
        <v>45185</v>
      </c>
      <c r="C31" s="127">
        <v>45186</v>
      </c>
      <c r="D31" s="122" t="s">
        <v>1281</v>
      </c>
      <c r="E31" s="164" t="s">
        <v>1329</v>
      </c>
      <c r="F31" s="122" t="s">
        <v>1275</v>
      </c>
      <c r="G31" s="259" t="s">
        <v>1326</v>
      </c>
      <c r="H31" s="122" t="s">
        <v>1330</v>
      </c>
      <c r="I31" s="122" t="str">
        <f t="shared" si="2"/>
        <v>Приложение №2-ТР</v>
      </c>
      <c r="J31" s="161" t="s">
        <v>1267</v>
      </c>
      <c r="K31" s="155" t="s">
        <v>195</v>
      </c>
      <c r="L31" s="125" t="s">
        <v>311</v>
      </c>
      <c r="M31" s="83">
        <v>44966</v>
      </c>
      <c r="N31" s="82" t="s">
        <v>224</v>
      </c>
      <c r="O31" s="82" t="s">
        <v>320</v>
      </c>
      <c r="P31" s="82" t="s">
        <v>312</v>
      </c>
      <c r="Q31" s="82" t="s">
        <v>226</v>
      </c>
      <c r="R31" s="82" t="s">
        <v>154</v>
      </c>
      <c r="S31" s="82"/>
    </row>
    <row r="32" spans="1:19" s="116" customFormat="1" ht="60" x14ac:dyDescent="0.25">
      <c r="A32" s="122" t="s">
        <v>163</v>
      </c>
      <c r="B32" s="127">
        <v>44962</v>
      </c>
      <c r="C32" s="127">
        <v>44962</v>
      </c>
      <c r="D32" s="122" t="s">
        <v>174</v>
      </c>
      <c r="E32" s="164" t="s">
        <v>175</v>
      </c>
      <c r="F32" s="122" t="s">
        <v>156</v>
      </c>
      <c r="G32" s="259" t="s">
        <v>152</v>
      </c>
      <c r="H32" s="122" t="s">
        <v>164</v>
      </c>
      <c r="I32" s="122" t="str">
        <f t="shared" si="2"/>
        <v>Приложение №13-ГРС.АС</v>
      </c>
      <c r="J32" s="161" t="s">
        <v>153</v>
      </c>
      <c r="K32" s="272" t="s">
        <v>195</v>
      </c>
      <c r="L32" s="273" t="s">
        <v>370</v>
      </c>
      <c r="M32" s="236">
        <v>44965</v>
      </c>
      <c r="N32" s="146" t="s">
        <v>371</v>
      </c>
      <c r="O32" s="146" t="s">
        <v>372</v>
      </c>
      <c r="P32" s="146" t="s">
        <v>373</v>
      </c>
      <c r="Q32" s="146" t="s">
        <v>374</v>
      </c>
      <c r="R32" s="146" t="s">
        <v>154</v>
      </c>
      <c r="S32" s="146"/>
    </row>
    <row r="33" spans="1:19" s="116" customFormat="1" ht="45" x14ac:dyDescent="0.25">
      <c r="A33" s="82" t="s">
        <v>167</v>
      </c>
      <c r="B33" s="83">
        <v>44962</v>
      </c>
      <c r="C33" s="83">
        <v>44962</v>
      </c>
      <c r="D33" s="82" t="s">
        <v>178</v>
      </c>
      <c r="E33" s="85" t="s">
        <v>176</v>
      </c>
      <c r="F33" s="82" t="s">
        <v>156</v>
      </c>
      <c r="G33" s="92" t="s">
        <v>152</v>
      </c>
      <c r="H33" s="82" t="s">
        <v>180</v>
      </c>
      <c r="I33" s="82" t="str">
        <f t="shared" si="2"/>
        <v>Приложение №14-ГРС.АС</v>
      </c>
      <c r="J33" s="107" t="s">
        <v>153</v>
      </c>
      <c r="K33" s="272" t="s">
        <v>195</v>
      </c>
      <c r="L33" s="273"/>
      <c r="M33" s="236"/>
      <c r="N33" s="146"/>
      <c r="O33" s="146"/>
      <c r="P33" s="146"/>
      <c r="Q33" s="146"/>
      <c r="R33" s="146"/>
      <c r="S33" s="146"/>
    </row>
    <row r="34" spans="1:19" s="116" customFormat="1" ht="45" x14ac:dyDescent="0.25">
      <c r="A34" s="82" t="s">
        <v>168</v>
      </c>
      <c r="B34" s="83">
        <v>44963</v>
      </c>
      <c r="C34" s="83">
        <v>44963</v>
      </c>
      <c r="D34" s="82" t="s">
        <v>178</v>
      </c>
      <c r="E34" s="85" t="s">
        <v>177</v>
      </c>
      <c r="F34" s="82" t="s">
        <v>156</v>
      </c>
      <c r="G34" s="92" t="s">
        <v>152</v>
      </c>
      <c r="H34" s="82" t="s">
        <v>180</v>
      </c>
      <c r="I34" s="82" t="str">
        <f t="shared" si="2"/>
        <v>Приложение №15-ГРС.АС</v>
      </c>
      <c r="J34" s="107" t="s">
        <v>153</v>
      </c>
      <c r="K34" s="272" t="s">
        <v>195</v>
      </c>
      <c r="L34" s="273"/>
      <c r="M34" s="236"/>
      <c r="N34" s="146"/>
      <c r="O34" s="146"/>
      <c r="P34" s="146"/>
      <c r="Q34" s="146"/>
      <c r="R34" s="146"/>
      <c r="S34" s="146"/>
    </row>
    <row r="35" spans="1:19" s="116" customFormat="1" ht="45" x14ac:dyDescent="0.25">
      <c r="A35" s="82" t="s">
        <v>169</v>
      </c>
      <c r="B35" s="83">
        <v>44963</v>
      </c>
      <c r="C35" s="83">
        <v>44963</v>
      </c>
      <c r="D35" s="82" t="s">
        <v>174</v>
      </c>
      <c r="E35" s="85" t="s">
        <v>179</v>
      </c>
      <c r="F35" s="82" t="s">
        <v>156</v>
      </c>
      <c r="G35" s="92" t="s">
        <v>152</v>
      </c>
      <c r="H35" s="82" t="s">
        <v>181</v>
      </c>
      <c r="I35" s="82" t="str">
        <f t="shared" si="2"/>
        <v>Приложение №16-ГРС.АС</v>
      </c>
      <c r="J35" s="107" t="s">
        <v>153</v>
      </c>
      <c r="K35" s="272" t="s">
        <v>195</v>
      </c>
      <c r="L35" s="273"/>
      <c r="M35" s="236"/>
      <c r="N35" s="146"/>
      <c r="O35" s="146"/>
      <c r="P35" s="146"/>
      <c r="Q35" s="146"/>
      <c r="R35" s="146"/>
      <c r="S35" s="146"/>
    </row>
    <row r="36" spans="1:19" s="116" customFormat="1" ht="100.5" customHeight="1" x14ac:dyDescent="0.25">
      <c r="A36" s="82" t="s">
        <v>321</v>
      </c>
      <c r="B36" s="83">
        <v>44960</v>
      </c>
      <c r="C36" s="83">
        <v>44964</v>
      </c>
      <c r="D36" s="82" t="s">
        <v>159</v>
      </c>
      <c r="E36" s="85" t="s">
        <v>183</v>
      </c>
      <c r="F36" s="82" t="s">
        <v>160</v>
      </c>
      <c r="G36" s="111" t="s">
        <v>353</v>
      </c>
      <c r="H36" s="82" t="s">
        <v>158</v>
      </c>
      <c r="I36" s="82" t="str">
        <f t="shared" si="2"/>
        <v>Приложение №16.1-ГРС.АС</v>
      </c>
      <c r="J36" s="107" t="s">
        <v>182</v>
      </c>
      <c r="K36" s="272" t="s">
        <v>196</v>
      </c>
      <c r="L36" s="233"/>
      <c r="M36" s="236"/>
      <c r="N36" s="146"/>
      <c r="O36" s="146"/>
      <c r="P36" s="146"/>
      <c r="Q36" s="146"/>
      <c r="R36" s="146"/>
      <c r="S36" s="146"/>
    </row>
    <row r="37" spans="1:19" s="116" customFormat="1" ht="96" x14ac:dyDescent="0.25">
      <c r="A37" s="82" t="s">
        <v>322</v>
      </c>
      <c r="B37" s="83">
        <v>44960</v>
      </c>
      <c r="C37" s="83">
        <v>44964</v>
      </c>
      <c r="D37" s="82" t="s">
        <v>165</v>
      </c>
      <c r="E37" s="85" t="s">
        <v>184</v>
      </c>
      <c r="F37" s="82" t="s">
        <v>160</v>
      </c>
      <c r="G37" s="111" t="s">
        <v>353</v>
      </c>
      <c r="H37" s="82" t="s">
        <v>157</v>
      </c>
      <c r="I37" s="82" t="str">
        <f t="shared" si="2"/>
        <v>Приложение №16.2-ГРС.АС</v>
      </c>
      <c r="J37" s="107" t="s">
        <v>182</v>
      </c>
      <c r="K37" s="272" t="s">
        <v>196</v>
      </c>
      <c r="L37" s="233"/>
      <c r="M37" s="236"/>
      <c r="N37" s="146"/>
      <c r="O37" s="146"/>
      <c r="P37" s="146"/>
      <c r="Q37" s="146"/>
      <c r="R37" s="146"/>
      <c r="S37" s="146"/>
    </row>
    <row r="38" spans="1:19" s="116" customFormat="1" ht="75" x14ac:dyDescent="0.25">
      <c r="A38" s="82" t="s">
        <v>199</v>
      </c>
      <c r="B38" s="83">
        <v>44964</v>
      </c>
      <c r="C38" s="83">
        <v>44964</v>
      </c>
      <c r="D38" s="82" t="s">
        <v>172</v>
      </c>
      <c r="E38" s="85" t="s">
        <v>246</v>
      </c>
      <c r="F38" s="82" t="s">
        <v>173</v>
      </c>
      <c r="G38" s="82" t="s">
        <v>222</v>
      </c>
      <c r="H38" s="82" t="s">
        <v>207</v>
      </c>
      <c r="I38" s="82" t="str">
        <f t="shared" si="2"/>
        <v>Приложение №17-ГРС.АС</v>
      </c>
      <c r="J38" s="107" t="s">
        <v>182</v>
      </c>
      <c r="K38" s="272" t="s">
        <v>195</v>
      </c>
      <c r="L38" s="233"/>
      <c r="M38" s="236"/>
      <c r="N38" s="146"/>
      <c r="O38" s="146"/>
      <c r="P38" s="146"/>
      <c r="Q38" s="146"/>
      <c r="R38" s="146"/>
      <c r="S38" s="146"/>
    </row>
    <row r="39" spans="1:19" s="116" customFormat="1" ht="75" x14ac:dyDescent="0.25">
      <c r="A39" s="82" t="s">
        <v>200</v>
      </c>
      <c r="B39" s="83">
        <v>44964</v>
      </c>
      <c r="C39" s="83">
        <v>44964</v>
      </c>
      <c r="D39" s="82" t="s">
        <v>172</v>
      </c>
      <c r="E39" s="85" t="s">
        <v>247</v>
      </c>
      <c r="F39" s="82" t="s">
        <v>173</v>
      </c>
      <c r="G39" s="82" t="s">
        <v>222</v>
      </c>
      <c r="H39" s="82" t="s">
        <v>208</v>
      </c>
      <c r="I39" s="82" t="str">
        <f t="shared" si="2"/>
        <v>Приложение №18-ГРС.АС</v>
      </c>
      <c r="J39" s="107" t="s">
        <v>182</v>
      </c>
      <c r="K39" s="272" t="s">
        <v>195</v>
      </c>
      <c r="L39" s="233"/>
      <c r="M39" s="236"/>
      <c r="N39" s="146"/>
      <c r="O39" s="146"/>
      <c r="P39" s="146"/>
      <c r="Q39" s="146"/>
      <c r="R39" s="146"/>
      <c r="S39" s="146"/>
    </row>
    <row r="40" spans="1:19" s="116" customFormat="1" ht="75" x14ac:dyDescent="0.25">
      <c r="A40" s="82" t="s">
        <v>201</v>
      </c>
      <c r="B40" s="83">
        <v>44964</v>
      </c>
      <c r="C40" s="83">
        <v>44964</v>
      </c>
      <c r="D40" s="82" t="s">
        <v>172</v>
      </c>
      <c r="E40" s="85" t="s">
        <v>189</v>
      </c>
      <c r="F40" s="82" t="s">
        <v>173</v>
      </c>
      <c r="G40" s="82" t="s">
        <v>222</v>
      </c>
      <c r="H40" s="82" t="s">
        <v>164</v>
      </c>
      <c r="I40" s="82" t="str">
        <f t="shared" si="2"/>
        <v>Приложение №19-ГРС.АС</v>
      </c>
      <c r="J40" s="107" t="s">
        <v>182</v>
      </c>
      <c r="K40" s="272" t="s">
        <v>195</v>
      </c>
      <c r="L40" s="233"/>
      <c r="M40" s="236"/>
      <c r="N40" s="146"/>
      <c r="O40" s="146"/>
      <c r="P40" s="146"/>
      <c r="Q40" s="146"/>
      <c r="R40" s="146"/>
      <c r="S40" s="146"/>
    </row>
    <row r="41" spans="1:19" s="84" customFormat="1" ht="75" x14ac:dyDescent="0.25">
      <c r="A41" s="278" t="s">
        <v>202</v>
      </c>
      <c r="B41" s="83">
        <v>44964</v>
      </c>
      <c r="C41" s="83">
        <v>44964</v>
      </c>
      <c r="D41" s="82" t="s">
        <v>172</v>
      </c>
      <c r="E41" s="85" t="s">
        <v>248</v>
      </c>
      <c r="F41" s="82" t="s">
        <v>173</v>
      </c>
      <c r="G41" s="82" t="s">
        <v>222</v>
      </c>
      <c r="H41" s="82" t="s">
        <v>180</v>
      </c>
      <c r="I41" s="82" t="str">
        <f t="shared" si="2"/>
        <v>Приложение №20-ГРС.АС</v>
      </c>
      <c r="J41" s="107" t="s">
        <v>182</v>
      </c>
      <c r="K41" s="107" t="s">
        <v>195</v>
      </c>
      <c r="L41" s="135"/>
      <c r="M41" s="83"/>
      <c r="N41" s="82"/>
      <c r="O41" s="82"/>
      <c r="P41" s="82"/>
      <c r="Q41" s="82"/>
      <c r="R41" s="82"/>
      <c r="S41" s="82"/>
    </row>
    <row r="42" spans="1:19" s="84" customFormat="1" ht="75" x14ac:dyDescent="0.25">
      <c r="A42" s="278" t="s">
        <v>203</v>
      </c>
      <c r="B42" s="83">
        <v>44964</v>
      </c>
      <c r="C42" s="83">
        <v>44964</v>
      </c>
      <c r="D42" s="82" t="s">
        <v>172</v>
      </c>
      <c r="E42" s="85" t="s">
        <v>323</v>
      </c>
      <c r="F42" s="82" t="s">
        <v>173</v>
      </c>
      <c r="G42" s="82" t="s">
        <v>222</v>
      </c>
      <c r="H42" s="82" t="s">
        <v>180</v>
      </c>
      <c r="I42" s="82" t="str">
        <f t="shared" si="2"/>
        <v>Приложение №21-ГРС.АС</v>
      </c>
      <c r="J42" s="107" t="s">
        <v>182</v>
      </c>
      <c r="K42" s="107" t="s">
        <v>195</v>
      </c>
      <c r="L42" s="135"/>
      <c r="M42" s="83"/>
      <c r="N42" s="82"/>
      <c r="O42" s="82"/>
      <c r="P42" s="82"/>
      <c r="Q42" s="82"/>
      <c r="R42" s="82"/>
      <c r="S42" s="82"/>
    </row>
    <row r="43" spans="1:19" s="84" customFormat="1" ht="75" x14ac:dyDescent="0.25">
      <c r="A43" s="278" t="s">
        <v>204</v>
      </c>
      <c r="B43" s="83">
        <v>44964</v>
      </c>
      <c r="C43" s="83">
        <v>44964</v>
      </c>
      <c r="D43" s="82" t="s">
        <v>172</v>
      </c>
      <c r="E43" s="85" t="s">
        <v>249</v>
      </c>
      <c r="F43" s="82" t="s">
        <v>173</v>
      </c>
      <c r="G43" s="82" t="s">
        <v>222</v>
      </c>
      <c r="H43" s="82" t="s">
        <v>181</v>
      </c>
      <c r="I43" s="82" t="str">
        <f t="shared" si="2"/>
        <v>Приложение №22-ГРС.АС</v>
      </c>
      <c r="J43" s="107" t="s">
        <v>182</v>
      </c>
      <c r="K43" s="107" t="s">
        <v>195</v>
      </c>
      <c r="L43" s="136"/>
      <c r="M43" s="95"/>
      <c r="N43" s="276"/>
      <c r="O43" s="276"/>
      <c r="P43" s="276"/>
      <c r="Q43" s="276"/>
      <c r="R43" s="82"/>
      <c r="S43" s="82"/>
    </row>
    <row r="44" spans="1:19" s="84" customFormat="1" ht="66" customHeight="1" x14ac:dyDescent="0.25">
      <c r="A44" s="278" t="s">
        <v>205</v>
      </c>
      <c r="B44" s="83">
        <v>44958</v>
      </c>
      <c r="C44" s="83">
        <v>44965</v>
      </c>
      <c r="D44" s="82" t="s">
        <v>155</v>
      </c>
      <c r="E44" s="85" t="s">
        <v>162</v>
      </c>
      <c r="F44" s="82" t="s">
        <v>171</v>
      </c>
      <c r="G44" s="82" t="s">
        <v>315</v>
      </c>
      <c r="H44" s="82" t="s">
        <v>166</v>
      </c>
      <c r="I44" s="82" t="str">
        <f>CONCATENATE("Приложение"," ","№", A44, ", ","протокол испытания №1П-ФОМ15 от 08.02.23")</f>
        <v>Приложение №23-ГРС.АС, протокол испытания №1П-ФОМ15 от 08.02.23</v>
      </c>
      <c r="J44" s="107" t="s">
        <v>182</v>
      </c>
      <c r="K44" s="107" t="s">
        <v>195</v>
      </c>
      <c r="L44" s="125"/>
      <c r="M44" s="83"/>
      <c r="N44" s="82"/>
      <c r="O44" s="82"/>
      <c r="P44" s="82"/>
      <c r="Q44" s="82"/>
      <c r="R44" s="125"/>
      <c r="S44" s="82"/>
    </row>
    <row r="45" spans="1:19" s="84" customFormat="1" ht="90" x14ac:dyDescent="0.25">
      <c r="A45" s="278" t="s">
        <v>206</v>
      </c>
      <c r="B45" s="83">
        <v>44965</v>
      </c>
      <c r="C45" s="83">
        <v>44965</v>
      </c>
      <c r="D45" s="82" t="s">
        <v>193</v>
      </c>
      <c r="E45" s="85" t="s">
        <v>194</v>
      </c>
      <c r="F45" s="82" t="s">
        <v>362</v>
      </c>
      <c r="G45" s="131" t="s">
        <v>353</v>
      </c>
      <c r="H45" s="82" t="s">
        <v>158</v>
      </c>
      <c r="I45" s="82" t="str">
        <f>CONCATENATE("Приложение"," ","№", A45,)</f>
        <v>Приложение №24-ГРС.АС</v>
      </c>
      <c r="J45" s="107" t="s">
        <v>182</v>
      </c>
      <c r="K45" s="107" t="s">
        <v>196</v>
      </c>
      <c r="L45" s="135"/>
      <c r="M45" s="127"/>
      <c r="N45" s="122"/>
      <c r="O45" s="122"/>
      <c r="P45" s="122"/>
      <c r="Q45" s="122"/>
      <c r="R45" s="125"/>
      <c r="S45" s="82"/>
    </row>
    <row r="46" spans="1:19" s="84" customFormat="1" ht="42.75" customHeight="1" x14ac:dyDescent="0.25">
      <c r="A46" s="278" t="s">
        <v>228</v>
      </c>
      <c r="B46" s="83">
        <v>44966</v>
      </c>
      <c r="C46" s="83">
        <v>44966</v>
      </c>
      <c r="D46" s="82" t="s">
        <v>174</v>
      </c>
      <c r="E46" s="85" t="s">
        <v>227</v>
      </c>
      <c r="F46" s="82" t="s">
        <v>156</v>
      </c>
      <c r="G46" s="92" t="s">
        <v>152</v>
      </c>
      <c r="H46" s="82" t="s">
        <v>216</v>
      </c>
      <c r="I46" s="82" t="str">
        <f>CONCATENATE("Приложение"," ","№", A46,)</f>
        <v>Приложение №25-ГРС.АС</v>
      </c>
      <c r="J46" s="107" t="s">
        <v>153</v>
      </c>
      <c r="K46" s="107" t="s">
        <v>195</v>
      </c>
      <c r="L46" s="135"/>
      <c r="M46" s="127"/>
      <c r="N46" s="122"/>
      <c r="O46" s="122"/>
      <c r="P46" s="122"/>
      <c r="Q46" s="122"/>
      <c r="R46" s="82"/>
      <c r="S46" s="82"/>
    </row>
    <row r="47" spans="1:19" s="84" customFormat="1" ht="42.75" customHeight="1" x14ac:dyDescent="0.25">
      <c r="A47" s="278" t="s">
        <v>229</v>
      </c>
      <c r="B47" s="83">
        <v>44966</v>
      </c>
      <c r="C47" s="83">
        <v>44966</v>
      </c>
      <c r="D47" s="82" t="s">
        <v>174</v>
      </c>
      <c r="E47" s="85" t="s">
        <v>324</v>
      </c>
      <c r="F47" s="82" t="s">
        <v>156</v>
      </c>
      <c r="G47" s="92" t="s">
        <v>152</v>
      </c>
      <c r="H47" s="82" t="s">
        <v>217</v>
      </c>
      <c r="I47" s="82" t="str">
        <f>CONCATENATE("Приложение"," ","№", A47,)</f>
        <v>Приложение №26-ГРС.АС</v>
      </c>
      <c r="J47" s="107" t="s">
        <v>153</v>
      </c>
      <c r="K47" s="107" t="s">
        <v>195</v>
      </c>
      <c r="L47" s="135"/>
      <c r="M47" s="127"/>
      <c r="N47" s="122"/>
      <c r="O47" s="122"/>
      <c r="P47" s="122"/>
      <c r="Q47" s="122"/>
      <c r="R47" s="82"/>
      <c r="S47" s="82"/>
    </row>
    <row r="48" spans="1:19" s="84" customFormat="1" ht="42.75" customHeight="1" x14ac:dyDescent="0.25">
      <c r="A48" s="278" t="s">
        <v>235</v>
      </c>
      <c r="B48" s="83">
        <v>44966</v>
      </c>
      <c r="C48" s="83">
        <v>44966</v>
      </c>
      <c r="D48" s="82" t="s">
        <v>174</v>
      </c>
      <c r="E48" s="85" t="s">
        <v>325</v>
      </c>
      <c r="F48" s="82" t="s">
        <v>156</v>
      </c>
      <c r="G48" s="92" t="s">
        <v>152</v>
      </c>
      <c r="H48" s="82" t="s">
        <v>217</v>
      </c>
      <c r="I48" s="82" t="str">
        <f>CONCATENATE("Приложение"," ","№", A48,)</f>
        <v>Приложение №27-ГРС.АС</v>
      </c>
      <c r="J48" s="107" t="s">
        <v>153</v>
      </c>
      <c r="K48" s="107" t="s">
        <v>195</v>
      </c>
      <c r="L48" s="135"/>
      <c r="M48" s="127"/>
      <c r="N48" s="122"/>
      <c r="O48" s="122"/>
      <c r="P48" s="122"/>
      <c r="Q48" s="122"/>
      <c r="R48" s="82"/>
      <c r="S48" s="82"/>
    </row>
    <row r="49" spans="1:19" s="84" customFormat="1" ht="42.75" customHeight="1" x14ac:dyDescent="0.25">
      <c r="A49" s="278" t="s">
        <v>236</v>
      </c>
      <c r="B49" s="83">
        <v>44966</v>
      </c>
      <c r="C49" s="83">
        <v>44966</v>
      </c>
      <c r="D49" s="82" t="s">
        <v>174</v>
      </c>
      <c r="E49" s="85" t="s">
        <v>231</v>
      </c>
      <c r="F49" s="82" t="s">
        <v>156</v>
      </c>
      <c r="G49" s="92" t="s">
        <v>152</v>
      </c>
      <c r="H49" s="82" t="s">
        <v>208</v>
      </c>
      <c r="I49" s="82" t="str">
        <f>CONCATENATE("Приложение"," ","№", A49,)</f>
        <v>Приложение №28-ГРС.АС</v>
      </c>
      <c r="J49" s="107" t="s">
        <v>153</v>
      </c>
      <c r="K49" s="107" t="s">
        <v>195</v>
      </c>
      <c r="L49" s="135"/>
      <c r="M49" s="127"/>
      <c r="N49" s="122"/>
      <c r="O49" s="122"/>
      <c r="P49" s="122"/>
      <c r="Q49" s="122"/>
      <c r="R49" s="82"/>
      <c r="S49" s="82"/>
    </row>
    <row r="50" spans="1:19" s="84" customFormat="1" ht="60" x14ac:dyDescent="0.25">
      <c r="A50" s="278" t="s">
        <v>237</v>
      </c>
      <c r="B50" s="83">
        <v>44966</v>
      </c>
      <c r="C50" s="83">
        <v>44966</v>
      </c>
      <c r="D50" s="82" t="s">
        <v>326</v>
      </c>
      <c r="E50" s="85" t="s">
        <v>327</v>
      </c>
      <c r="F50" s="82" t="s">
        <v>156</v>
      </c>
      <c r="G50" s="92" t="s">
        <v>152</v>
      </c>
      <c r="H50" s="82" t="s">
        <v>215</v>
      </c>
      <c r="I50" s="82" t="str">
        <f>CONCATENATE("Приложение"," ","№", A50, ", ","протокол уплотнения №4/ГРС")</f>
        <v>Приложение №29-ГРС.АС, протокол уплотнения №4/ГРС</v>
      </c>
      <c r="J50" s="107" t="s">
        <v>153</v>
      </c>
      <c r="K50" s="107" t="s">
        <v>195</v>
      </c>
      <c r="L50" s="135"/>
      <c r="M50" s="127"/>
      <c r="N50" s="122"/>
      <c r="O50" s="122"/>
      <c r="P50" s="122"/>
      <c r="Q50" s="122"/>
      <c r="R50" s="82"/>
      <c r="S50" s="82"/>
    </row>
    <row r="51" spans="1:19" s="84" customFormat="1" ht="60" x14ac:dyDescent="0.25">
      <c r="A51" s="278" t="s">
        <v>238</v>
      </c>
      <c r="B51" s="83">
        <v>44966</v>
      </c>
      <c r="C51" s="83">
        <v>44966</v>
      </c>
      <c r="D51" s="82" t="s">
        <v>328</v>
      </c>
      <c r="E51" s="85" t="s">
        <v>329</v>
      </c>
      <c r="F51" s="82" t="s">
        <v>156</v>
      </c>
      <c r="G51" s="92" t="s">
        <v>152</v>
      </c>
      <c r="H51" s="82" t="s">
        <v>215</v>
      </c>
      <c r="I51" s="82" t="str">
        <f>CONCATENATE("Приложение"," ","№", A51, ", ","протокол уплотнения №5/ГРС")</f>
        <v>Приложение №30-ГРС.АС, протокол уплотнения №5/ГРС</v>
      </c>
      <c r="J51" s="107" t="s">
        <v>153</v>
      </c>
      <c r="K51" s="107" t="s">
        <v>195</v>
      </c>
      <c r="L51" s="135"/>
      <c r="M51" s="127"/>
      <c r="N51" s="122"/>
      <c r="O51" s="122"/>
      <c r="P51" s="122"/>
      <c r="Q51" s="122"/>
      <c r="R51" s="82"/>
      <c r="S51" s="82"/>
    </row>
    <row r="52" spans="1:19" s="84" customFormat="1" ht="42.75" customHeight="1" x14ac:dyDescent="0.25">
      <c r="A52" s="278" t="s">
        <v>239</v>
      </c>
      <c r="B52" s="83">
        <v>44966</v>
      </c>
      <c r="C52" s="83">
        <v>44966</v>
      </c>
      <c r="D52" s="82" t="s">
        <v>174</v>
      </c>
      <c r="E52" s="85" t="s">
        <v>257</v>
      </c>
      <c r="F52" s="82" t="s">
        <v>156</v>
      </c>
      <c r="G52" s="92" t="s">
        <v>152</v>
      </c>
      <c r="H52" s="82" t="s">
        <v>265</v>
      </c>
      <c r="I52" s="82" t="str">
        <f t="shared" ref="I52:I59" si="3">CONCATENATE("Приложение"," ","№", A52,)</f>
        <v>Приложение №31-ГРС.АС</v>
      </c>
      <c r="J52" s="107" t="s">
        <v>153</v>
      </c>
      <c r="K52" s="107"/>
      <c r="L52" s="135"/>
      <c r="M52" s="127"/>
      <c r="N52" s="122"/>
      <c r="O52" s="122"/>
      <c r="P52" s="122"/>
      <c r="Q52" s="122"/>
      <c r="R52" s="82"/>
      <c r="S52" s="82"/>
    </row>
    <row r="53" spans="1:19" s="84" customFormat="1" ht="51" x14ac:dyDescent="0.25">
      <c r="A53" s="278" t="s">
        <v>240</v>
      </c>
      <c r="B53" s="83">
        <v>44967</v>
      </c>
      <c r="C53" s="83">
        <v>44967</v>
      </c>
      <c r="D53" s="82" t="s">
        <v>172</v>
      </c>
      <c r="E53" s="85" t="s">
        <v>230</v>
      </c>
      <c r="F53" s="82" t="s">
        <v>173</v>
      </c>
      <c r="G53" s="120" t="s">
        <v>222</v>
      </c>
      <c r="H53" s="82" t="s">
        <v>216</v>
      </c>
      <c r="I53" s="82" t="str">
        <f t="shared" si="3"/>
        <v>Приложение №32-ГРС.АС</v>
      </c>
      <c r="J53" s="107" t="s">
        <v>182</v>
      </c>
      <c r="K53" s="107" t="s">
        <v>195</v>
      </c>
      <c r="L53" s="135"/>
      <c r="M53" s="127"/>
      <c r="N53" s="122"/>
      <c r="O53" s="122"/>
      <c r="P53" s="122"/>
      <c r="Q53" s="122"/>
      <c r="R53" s="82"/>
      <c r="S53" s="82"/>
    </row>
    <row r="54" spans="1:19" s="84" customFormat="1" ht="51" x14ac:dyDescent="0.25">
      <c r="A54" s="278" t="s">
        <v>241</v>
      </c>
      <c r="B54" s="83">
        <v>44967</v>
      </c>
      <c r="C54" s="83">
        <v>44967</v>
      </c>
      <c r="D54" s="82" t="s">
        <v>172</v>
      </c>
      <c r="E54" s="85" t="s">
        <v>330</v>
      </c>
      <c r="F54" s="82" t="s">
        <v>173</v>
      </c>
      <c r="G54" s="120" t="s">
        <v>222</v>
      </c>
      <c r="H54" s="82" t="s">
        <v>217</v>
      </c>
      <c r="I54" s="82" t="str">
        <f t="shared" si="3"/>
        <v>Приложение №33-ГРС.АС</v>
      </c>
      <c r="J54" s="107" t="s">
        <v>182</v>
      </c>
      <c r="K54" s="107" t="s">
        <v>195</v>
      </c>
      <c r="L54" s="135"/>
      <c r="M54" s="83"/>
      <c r="N54" s="82"/>
      <c r="O54" s="82"/>
      <c r="P54" s="82"/>
      <c r="Q54" s="82"/>
      <c r="R54" s="82"/>
      <c r="S54" s="82"/>
    </row>
    <row r="55" spans="1:19" s="84" customFormat="1" ht="51" x14ac:dyDescent="0.25">
      <c r="A55" s="278" t="s">
        <v>242</v>
      </c>
      <c r="B55" s="83">
        <v>44967</v>
      </c>
      <c r="C55" s="83">
        <v>44967</v>
      </c>
      <c r="D55" s="82" t="s">
        <v>172</v>
      </c>
      <c r="E55" s="85" t="s">
        <v>331</v>
      </c>
      <c r="F55" s="82" t="s">
        <v>173</v>
      </c>
      <c r="G55" s="120" t="s">
        <v>222</v>
      </c>
      <c r="H55" s="82" t="s">
        <v>217</v>
      </c>
      <c r="I55" s="82" t="str">
        <f t="shared" si="3"/>
        <v>Приложение №34-ГРС.АС</v>
      </c>
      <c r="J55" s="107" t="s">
        <v>182</v>
      </c>
      <c r="K55" s="107" t="s">
        <v>195</v>
      </c>
      <c r="L55" s="135"/>
      <c r="M55" s="83"/>
      <c r="N55" s="82"/>
      <c r="O55" s="82"/>
      <c r="P55" s="82"/>
      <c r="Q55" s="82"/>
      <c r="R55" s="82"/>
      <c r="S55" s="82"/>
    </row>
    <row r="56" spans="1:19" s="84" customFormat="1" ht="51" x14ac:dyDescent="0.25">
      <c r="A56" s="278" t="s">
        <v>243</v>
      </c>
      <c r="B56" s="83">
        <v>44967</v>
      </c>
      <c r="C56" s="83">
        <v>44967</v>
      </c>
      <c r="D56" s="82" t="s">
        <v>172</v>
      </c>
      <c r="E56" s="85" t="s">
        <v>232</v>
      </c>
      <c r="F56" s="82" t="s">
        <v>173</v>
      </c>
      <c r="G56" s="120" t="s">
        <v>222</v>
      </c>
      <c r="H56" s="82" t="s">
        <v>208</v>
      </c>
      <c r="I56" s="82" t="str">
        <f t="shared" si="3"/>
        <v>Приложение №35-ГРС.АС</v>
      </c>
      <c r="J56" s="107" t="s">
        <v>182</v>
      </c>
      <c r="K56" s="107" t="s">
        <v>195</v>
      </c>
      <c r="L56" s="135"/>
      <c r="M56" s="83"/>
      <c r="N56" s="82"/>
      <c r="O56" s="82"/>
      <c r="P56" s="82"/>
      <c r="Q56" s="82"/>
      <c r="R56" s="82"/>
      <c r="S56" s="82"/>
    </row>
    <row r="57" spans="1:19" s="84" customFormat="1" ht="51" x14ac:dyDescent="0.25">
      <c r="A57" s="278" t="s">
        <v>244</v>
      </c>
      <c r="B57" s="83">
        <v>44967</v>
      </c>
      <c r="C57" s="83">
        <v>44967</v>
      </c>
      <c r="D57" s="82" t="s">
        <v>172</v>
      </c>
      <c r="E57" s="85" t="s">
        <v>233</v>
      </c>
      <c r="F57" s="82" t="s">
        <v>173</v>
      </c>
      <c r="G57" s="120" t="s">
        <v>222</v>
      </c>
      <c r="H57" s="82" t="s">
        <v>215</v>
      </c>
      <c r="I57" s="82" t="str">
        <f t="shared" si="3"/>
        <v>Приложение №36-ГРС.АС</v>
      </c>
      <c r="J57" s="107" t="s">
        <v>182</v>
      </c>
      <c r="K57" s="107" t="s">
        <v>195</v>
      </c>
      <c r="L57" s="135"/>
      <c r="M57" s="83"/>
      <c r="N57" s="82"/>
      <c r="O57" s="82"/>
      <c r="P57" s="82"/>
      <c r="Q57" s="82"/>
      <c r="R57" s="82"/>
      <c r="S57" s="82"/>
    </row>
    <row r="58" spans="1:19" s="84" customFormat="1" ht="51" x14ac:dyDescent="0.25">
      <c r="A58" s="278" t="s">
        <v>245</v>
      </c>
      <c r="B58" s="83">
        <v>44967</v>
      </c>
      <c r="C58" s="83">
        <v>44967</v>
      </c>
      <c r="D58" s="82" t="s">
        <v>172</v>
      </c>
      <c r="E58" s="85" t="s">
        <v>234</v>
      </c>
      <c r="F58" s="82" t="s">
        <v>173</v>
      </c>
      <c r="G58" s="120" t="s">
        <v>222</v>
      </c>
      <c r="H58" s="82" t="s">
        <v>215</v>
      </c>
      <c r="I58" s="82" t="str">
        <f t="shared" si="3"/>
        <v>Приложение №37-ГРС.АС</v>
      </c>
      <c r="J58" s="107" t="s">
        <v>182</v>
      </c>
      <c r="K58" s="107" t="s">
        <v>195</v>
      </c>
      <c r="L58" s="135"/>
      <c r="M58" s="83"/>
      <c r="N58" s="82"/>
      <c r="O58" s="82"/>
      <c r="P58" s="82"/>
      <c r="Q58" s="82"/>
      <c r="R58" s="82"/>
      <c r="S58" s="82"/>
    </row>
    <row r="59" spans="1:19" s="84" customFormat="1" ht="51" x14ac:dyDescent="0.25">
      <c r="A59" s="279" t="s">
        <v>268</v>
      </c>
      <c r="B59" s="95">
        <v>44967</v>
      </c>
      <c r="C59" s="95">
        <v>44967</v>
      </c>
      <c r="D59" s="276" t="s">
        <v>172</v>
      </c>
      <c r="E59" s="157" t="s">
        <v>258</v>
      </c>
      <c r="F59" s="276" t="s">
        <v>173</v>
      </c>
      <c r="G59" s="158" t="s">
        <v>222</v>
      </c>
      <c r="H59" s="276" t="s">
        <v>265</v>
      </c>
      <c r="I59" s="276" t="str">
        <f t="shared" si="3"/>
        <v>Приложение №38-ГРС.АС</v>
      </c>
      <c r="J59" s="162" t="s">
        <v>182</v>
      </c>
      <c r="K59" s="107" t="s">
        <v>195</v>
      </c>
      <c r="L59" s="135"/>
      <c r="M59" s="83"/>
      <c r="N59" s="82"/>
      <c r="O59" s="82"/>
      <c r="P59" s="82"/>
      <c r="Q59" s="82"/>
      <c r="R59" s="82"/>
      <c r="S59" s="82"/>
    </row>
    <row r="60" spans="1:19" s="84" customFormat="1" ht="84" x14ac:dyDescent="0.25">
      <c r="A60" s="146" t="s">
        <v>696</v>
      </c>
      <c r="B60" s="83">
        <v>44978</v>
      </c>
      <c r="C60" s="83">
        <v>44985</v>
      </c>
      <c r="D60" s="82" t="s">
        <v>693</v>
      </c>
      <c r="E60" s="85" t="s">
        <v>695</v>
      </c>
      <c r="F60" s="82" t="s">
        <v>160</v>
      </c>
      <c r="G60" s="120" t="s">
        <v>694</v>
      </c>
      <c r="H60" s="121" t="s">
        <v>157</v>
      </c>
      <c r="I60" s="82" t="str">
        <f>CONCATENATE("Приложение"," ","№", A60,)</f>
        <v>Приложение №84.1-ГРС.АС</v>
      </c>
      <c r="J60" s="107" t="s">
        <v>151</v>
      </c>
      <c r="K60" s="155"/>
      <c r="L60" s="135"/>
      <c r="M60" s="83"/>
      <c r="N60" s="82"/>
      <c r="O60" s="82"/>
      <c r="P60" s="82"/>
      <c r="Q60" s="82"/>
      <c r="R60" s="82"/>
      <c r="S60" s="82"/>
    </row>
    <row r="61" spans="1:19" s="84" customFormat="1" ht="62.25" customHeight="1" x14ac:dyDescent="0.25">
      <c r="A61" s="163" t="s">
        <v>269</v>
      </c>
      <c r="B61" s="127">
        <v>44964</v>
      </c>
      <c r="C61" s="127">
        <v>44971</v>
      </c>
      <c r="D61" s="122" t="s">
        <v>197</v>
      </c>
      <c r="E61" s="164" t="s">
        <v>319</v>
      </c>
      <c r="F61" s="122" t="s">
        <v>262</v>
      </c>
      <c r="G61" s="122" t="s">
        <v>335</v>
      </c>
      <c r="H61" s="122" t="s">
        <v>157</v>
      </c>
      <c r="I61" s="122" t="str">
        <f>CONCATENATE("Приложение"," ","№", A61, ", ","протокол испытания №1Ф-ФОМ17 от 14.02.23")</f>
        <v>Приложение №39-ГРС.АС, протокол испытания №1Ф-ФОМ17 от 14.02.23</v>
      </c>
      <c r="J61" s="161" t="s">
        <v>182</v>
      </c>
      <c r="K61" s="107" t="s">
        <v>196</v>
      </c>
      <c r="L61" s="135"/>
      <c r="M61" s="83"/>
      <c r="N61" s="82"/>
      <c r="O61" s="82"/>
      <c r="P61" s="82"/>
      <c r="Q61" s="82"/>
      <c r="R61" s="82"/>
      <c r="S61" s="82"/>
    </row>
    <row r="62" spans="1:19" s="84" customFormat="1" ht="48" x14ac:dyDescent="0.25">
      <c r="A62" s="278" t="s">
        <v>270</v>
      </c>
      <c r="B62" s="83">
        <v>44971</v>
      </c>
      <c r="C62" s="83">
        <v>44971</v>
      </c>
      <c r="D62" s="82" t="s">
        <v>262</v>
      </c>
      <c r="E62" s="85" t="s">
        <v>263</v>
      </c>
      <c r="F62" s="82" t="s">
        <v>160</v>
      </c>
      <c r="G62" s="82" t="s">
        <v>337</v>
      </c>
      <c r="H62" s="82" t="s">
        <v>157</v>
      </c>
      <c r="I62" s="82" t="str">
        <f>CONCATENATE("Приложение"," ","№", A62,)</f>
        <v>Приложение №40-ГРС.АС</v>
      </c>
      <c r="J62" s="107" t="s">
        <v>182</v>
      </c>
      <c r="K62" s="107" t="s">
        <v>196</v>
      </c>
      <c r="L62" s="135"/>
      <c r="M62" s="83"/>
      <c r="N62" s="82"/>
      <c r="O62" s="82"/>
      <c r="P62" s="82"/>
      <c r="Q62" s="82"/>
      <c r="R62" s="82"/>
      <c r="S62" s="82"/>
    </row>
    <row r="63" spans="1:19" s="84" customFormat="1" ht="60" x14ac:dyDescent="0.25">
      <c r="A63" s="279" t="s">
        <v>271</v>
      </c>
      <c r="B63" s="95">
        <v>44965</v>
      </c>
      <c r="C63" s="95">
        <v>44972</v>
      </c>
      <c r="D63" s="276" t="s">
        <v>197</v>
      </c>
      <c r="E63" s="157" t="s">
        <v>338</v>
      </c>
      <c r="F63" s="276" t="s">
        <v>161</v>
      </c>
      <c r="G63" s="276" t="s">
        <v>317</v>
      </c>
      <c r="H63" s="276" t="s">
        <v>158</v>
      </c>
      <c r="I63" s="276" t="str">
        <f>CONCATENATE("Приложение"," ","№", A63, ", ","протокол испытания №1Ф-ФОМ15")</f>
        <v>Приложение №41-ГРС.АС, протокол испытания №1Ф-ФОМ15</v>
      </c>
      <c r="J63" s="162" t="s">
        <v>182</v>
      </c>
      <c r="K63" s="107" t="s">
        <v>196</v>
      </c>
      <c r="L63" s="135"/>
      <c r="M63" s="83"/>
      <c r="N63" s="82"/>
      <c r="O63" s="82"/>
      <c r="P63" s="82"/>
      <c r="Q63" s="82"/>
      <c r="R63" s="82"/>
      <c r="S63" s="82"/>
    </row>
    <row r="64" spans="1:19" s="84" customFormat="1" ht="57.6" customHeight="1" x14ac:dyDescent="0.25">
      <c r="A64" s="256" t="s">
        <v>1113</v>
      </c>
      <c r="B64" s="83">
        <v>44972</v>
      </c>
      <c r="C64" s="83">
        <v>44972</v>
      </c>
      <c r="D64" s="221" t="s">
        <v>155</v>
      </c>
      <c r="E64" s="221" t="s">
        <v>1114</v>
      </c>
      <c r="F64" s="221" t="s">
        <v>786</v>
      </c>
      <c r="G64" s="221" t="s">
        <v>778</v>
      </c>
      <c r="H64" s="221" t="s">
        <v>158</v>
      </c>
      <c r="I64" s="221" t="s">
        <v>1115</v>
      </c>
      <c r="J64" s="228" t="s">
        <v>182</v>
      </c>
      <c r="K64" s="155"/>
      <c r="L64" s="135"/>
      <c r="M64" s="83"/>
      <c r="N64" s="82"/>
      <c r="O64" s="82"/>
      <c r="P64" s="82"/>
      <c r="Q64" s="82"/>
      <c r="R64" s="82"/>
      <c r="S64" s="82"/>
    </row>
    <row r="65" spans="1:19" s="84" customFormat="1" ht="60" x14ac:dyDescent="0.25">
      <c r="A65" s="163" t="s">
        <v>272</v>
      </c>
      <c r="B65" s="127">
        <v>44965</v>
      </c>
      <c r="C65" s="127">
        <v>44972</v>
      </c>
      <c r="D65" s="122" t="s">
        <v>197</v>
      </c>
      <c r="E65" s="164" t="s">
        <v>198</v>
      </c>
      <c r="F65" s="122" t="s">
        <v>161</v>
      </c>
      <c r="G65" s="122" t="s">
        <v>317</v>
      </c>
      <c r="H65" s="122" t="s">
        <v>158</v>
      </c>
      <c r="I65" s="122" t="str">
        <f>CONCATENATE("Приложение"," ","№", A65, ", ","протокол испытания №1Ф-ФОМ16")</f>
        <v>Приложение №42-ГРС.АС, протокол испытания №1Ф-ФОМ16</v>
      </c>
      <c r="J65" s="161" t="s">
        <v>182</v>
      </c>
      <c r="K65" s="107" t="s">
        <v>196</v>
      </c>
      <c r="L65" s="135"/>
      <c r="M65" s="83"/>
      <c r="N65" s="82"/>
      <c r="O65" s="82"/>
      <c r="P65" s="82"/>
      <c r="Q65" s="82"/>
      <c r="R65" s="82"/>
      <c r="S65" s="82"/>
    </row>
    <row r="66" spans="1:19" s="84" customFormat="1" ht="62.25" customHeight="1" x14ac:dyDescent="0.25">
      <c r="A66" s="278" t="s">
        <v>273</v>
      </c>
      <c r="B66" s="83">
        <v>44966</v>
      </c>
      <c r="C66" s="83">
        <v>44973</v>
      </c>
      <c r="D66" s="82" t="s">
        <v>155</v>
      </c>
      <c r="E66" s="85" t="s">
        <v>209</v>
      </c>
      <c r="F66" s="82" t="s">
        <v>171</v>
      </c>
      <c r="G66" s="82" t="s">
        <v>316</v>
      </c>
      <c r="H66" s="82" t="s">
        <v>207</v>
      </c>
      <c r="I66" s="82" t="str">
        <f>CONCATENATE("Приложение"," ","№", A66, ", ","протокол испытания №1П-ФОМ1 от 16.02.23")</f>
        <v>Приложение №43-ГРС.АС, протокол испытания №1П-ФОМ1 от 16.02.23</v>
      </c>
      <c r="J66" s="107" t="s">
        <v>182</v>
      </c>
      <c r="K66" s="107" t="s">
        <v>195</v>
      </c>
      <c r="L66" s="135"/>
      <c r="M66" s="83"/>
      <c r="N66" s="82"/>
      <c r="O66" s="82"/>
      <c r="P66" s="82"/>
      <c r="Q66" s="82"/>
      <c r="R66" s="82"/>
      <c r="S66" s="82"/>
    </row>
    <row r="67" spans="1:19" s="84" customFormat="1" ht="61.5" customHeight="1" x14ac:dyDescent="0.25">
      <c r="A67" s="278" t="s">
        <v>274</v>
      </c>
      <c r="B67" s="83">
        <v>44966</v>
      </c>
      <c r="C67" s="83">
        <v>44973</v>
      </c>
      <c r="D67" s="82" t="s">
        <v>155</v>
      </c>
      <c r="E67" s="85" t="s">
        <v>210</v>
      </c>
      <c r="F67" s="82" t="s">
        <v>171</v>
      </c>
      <c r="G67" s="82" t="s">
        <v>316</v>
      </c>
      <c r="H67" s="82" t="s">
        <v>208</v>
      </c>
      <c r="I67" s="82" t="str">
        <f>CONCATENATE("Приложение"," ","№", A67, ", ","протокол испытания №1П-ФОМ8 от 16.02.23")</f>
        <v>Приложение №44-ГРС.АС, протокол испытания №1П-ФОМ8 от 16.02.23</v>
      </c>
      <c r="J67" s="107" t="s">
        <v>182</v>
      </c>
      <c r="K67" s="107" t="s">
        <v>195</v>
      </c>
      <c r="L67" s="135"/>
      <c r="M67" s="83"/>
      <c r="N67" s="82"/>
      <c r="O67" s="82"/>
      <c r="P67" s="82"/>
      <c r="Q67" s="82"/>
      <c r="R67" s="82"/>
      <c r="S67" s="82"/>
    </row>
    <row r="68" spans="1:19" s="84" customFormat="1" ht="60" x14ac:dyDescent="0.25">
      <c r="A68" s="278" t="s">
        <v>275</v>
      </c>
      <c r="B68" s="83">
        <v>44966</v>
      </c>
      <c r="C68" s="83">
        <v>44973</v>
      </c>
      <c r="D68" s="82" t="s">
        <v>155</v>
      </c>
      <c r="E68" s="85" t="s">
        <v>211</v>
      </c>
      <c r="F68" s="82" t="s">
        <v>171</v>
      </c>
      <c r="G68" s="82" t="s">
        <v>316</v>
      </c>
      <c r="H68" s="82" t="s">
        <v>164</v>
      </c>
      <c r="I68" s="82" t="str">
        <f>CONCATENATE("Приложение"," ","№", A68, ", ","протокол испытания №1П-ФОМ9 от 16.02.23")</f>
        <v>Приложение №45-ГРС.АС, протокол испытания №1П-ФОМ9 от 16.02.23</v>
      </c>
      <c r="J68" s="107" t="s">
        <v>182</v>
      </c>
      <c r="K68" s="107" t="s">
        <v>195</v>
      </c>
      <c r="L68" s="135"/>
      <c r="M68" s="83"/>
      <c r="N68" s="82"/>
      <c r="O68" s="82"/>
      <c r="P68" s="82"/>
      <c r="Q68" s="82"/>
      <c r="R68" s="82"/>
      <c r="S68" s="82"/>
    </row>
    <row r="69" spans="1:19" s="84" customFormat="1" ht="60" x14ac:dyDescent="0.25">
      <c r="A69" s="278" t="s">
        <v>276</v>
      </c>
      <c r="B69" s="83">
        <v>44966</v>
      </c>
      <c r="C69" s="83">
        <v>44973</v>
      </c>
      <c r="D69" s="82" t="s">
        <v>155</v>
      </c>
      <c r="E69" s="85" t="s">
        <v>212</v>
      </c>
      <c r="F69" s="82" t="s">
        <v>171</v>
      </c>
      <c r="G69" s="82" t="s">
        <v>316</v>
      </c>
      <c r="H69" s="82" t="s">
        <v>180</v>
      </c>
      <c r="I69" s="82" t="str">
        <f>CONCATENATE("Приложение"," ","№", A69, ", ","протокол испытания №1П-ФОМ18 от 16.02.23")</f>
        <v>Приложение №46-ГРС.АС, протокол испытания №1П-ФОМ18 от 16.02.23</v>
      </c>
      <c r="J69" s="107" t="s">
        <v>182</v>
      </c>
      <c r="K69" s="107" t="s">
        <v>195</v>
      </c>
      <c r="L69" s="135"/>
      <c r="M69" s="83"/>
      <c r="N69" s="82"/>
      <c r="O69" s="82"/>
      <c r="P69" s="82"/>
      <c r="Q69" s="82"/>
      <c r="R69" s="82"/>
      <c r="S69" s="82"/>
    </row>
    <row r="70" spans="1:19" s="84" customFormat="1" ht="60" x14ac:dyDescent="0.25">
      <c r="A70" s="278" t="s">
        <v>277</v>
      </c>
      <c r="B70" s="83">
        <v>44966</v>
      </c>
      <c r="C70" s="83">
        <v>44973</v>
      </c>
      <c r="D70" s="82" t="s">
        <v>155</v>
      </c>
      <c r="E70" s="85" t="s">
        <v>213</v>
      </c>
      <c r="F70" s="82" t="s">
        <v>171</v>
      </c>
      <c r="G70" s="82" t="s">
        <v>316</v>
      </c>
      <c r="H70" s="82" t="s">
        <v>180</v>
      </c>
      <c r="I70" s="82" t="str">
        <f>CONCATENATE("Приложение"," ","№", A70, ", ","протокол испытания №1П-ФОМ19 от 16.02.23")</f>
        <v>Приложение №47-ГРС.АС, протокол испытания №1П-ФОМ19 от 16.02.23</v>
      </c>
      <c r="J70" s="107" t="s">
        <v>182</v>
      </c>
      <c r="K70" s="107" t="s">
        <v>195</v>
      </c>
      <c r="L70" s="135"/>
      <c r="M70" s="83"/>
      <c r="N70" s="82"/>
      <c r="O70" s="82"/>
      <c r="P70" s="82"/>
      <c r="Q70" s="82"/>
      <c r="R70" s="82"/>
      <c r="S70" s="82"/>
    </row>
    <row r="71" spans="1:19" s="84" customFormat="1" ht="60" x14ac:dyDescent="0.25">
      <c r="A71" s="278" t="s">
        <v>278</v>
      </c>
      <c r="B71" s="83">
        <v>44966</v>
      </c>
      <c r="C71" s="83">
        <v>44973</v>
      </c>
      <c r="D71" s="82" t="s">
        <v>155</v>
      </c>
      <c r="E71" s="85" t="s">
        <v>214</v>
      </c>
      <c r="F71" s="82" t="s">
        <v>171</v>
      </c>
      <c r="G71" s="82" t="s">
        <v>316</v>
      </c>
      <c r="H71" s="82" t="s">
        <v>181</v>
      </c>
      <c r="I71" s="82" t="str">
        <f>CONCATENATE("Приложение"," ","№", A71, ", ","протокол испытания №1П-ФОМ20 от 16.02.23")</f>
        <v>Приложение №48-ГРС.АС, протокол испытания №1П-ФОМ20 от 16.02.23</v>
      </c>
      <c r="J71" s="107" t="s">
        <v>182</v>
      </c>
      <c r="K71" s="107" t="s">
        <v>195</v>
      </c>
      <c r="L71" s="135"/>
      <c r="M71" s="83"/>
      <c r="N71" s="82"/>
      <c r="O71" s="82"/>
      <c r="P71" s="82"/>
      <c r="Q71" s="82"/>
      <c r="R71" s="82"/>
      <c r="S71" s="82"/>
    </row>
    <row r="72" spans="1:19" s="84" customFormat="1" ht="48" x14ac:dyDescent="0.25">
      <c r="A72" s="278" t="s">
        <v>279</v>
      </c>
      <c r="B72" s="83">
        <v>44973</v>
      </c>
      <c r="C72" s="83">
        <v>44974</v>
      </c>
      <c r="D72" s="82" t="s">
        <v>376</v>
      </c>
      <c r="E72" s="85" t="s">
        <v>404</v>
      </c>
      <c r="F72" s="82" t="s">
        <v>377</v>
      </c>
      <c r="G72" s="111" t="s">
        <v>378</v>
      </c>
      <c r="H72" s="82" t="s">
        <v>207</v>
      </c>
      <c r="I72" s="82" t="str">
        <f t="shared" ref="I72:I83" si="4">CONCATENATE("Приложение"," ","№", A72,)</f>
        <v>Приложение №49-ГРС.АС</v>
      </c>
      <c r="J72" s="107" t="s">
        <v>182</v>
      </c>
      <c r="K72" s="107" t="s">
        <v>195</v>
      </c>
      <c r="L72" s="135"/>
      <c r="M72" s="83"/>
      <c r="N72" s="82"/>
      <c r="O72" s="82"/>
      <c r="P72" s="82"/>
      <c r="Q72" s="82"/>
      <c r="R72" s="82"/>
      <c r="S72" s="82"/>
    </row>
    <row r="73" spans="1:19" s="84" customFormat="1" ht="72" x14ac:dyDescent="0.25">
      <c r="A73" s="278" t="s">
        <v>380</v>
      </c>
      <c r="B73" s="83">
        <v>44973</v>
      </c>
      <c r="C73" s="83">
        <v>44974</v>
      </c>
      <c r="D73" s="82" t="s">
        <v>155</v>
      </c>
      <c r="E73" s="85" t="s">
        <v>379</v>
      </c>
      <c r="F73" s="82" t="s">
        <v>171</v>
      </c>
      <c r="G73" s="111" t="s">
        <v>400</v>
      </c>
      <c r="H73" s="82" t="s">
        <v>207</v>
      </c>
      <c r="I73" s="82" t="str">
        <f t="shared" si="4"/>
        <v>Приложение №49.1-ГРС.АС</v>
      </c>
      <c r="J73" s="107" t="s">
        <v>182</v>
      </c>
      <c r="K73" s="107" t="s">
        <v>195</v>
      </c>
      <c r="L73" s="135"/>
      <c r="M73" s="83"/>
      <c r="N73" s="82"/>
      <c r="O73" s="82"/>
      <c r="P73" s="82"/>
      <c r="Q73" s="82"/>
      <c r="R73" s="82"/>
      <c r="S73" s="82"/>
    </row>
    <row r="74" spans="1:19" s="84" customFormat="1" ht="48" x14ac:dyDescent="0.25">
      <c r="A74" s="278" t="s">
        <v>280</v>
      </c>
      <c r="B74" s="83">
        <v>44973</v>
      </c>
      <c r="C74" s="83">
        <v>44974</v>
      </c>
      <c r="D74" s="82" t="s">
        <v>376</v>
      </c>
      <c r="E74" s="85" t="s">
        <v>381</v>
      </c>
      <c r="F74" s="82" t="s">
        <v>377</v>
      </c>
      <c r="G74" s="111" t="s">
        <v>378</v>
      </c>
      <c r="H74" s="82" t="s">
        <v>208</v>
      </c>
      <c r="I74" s="82" t="str">
        <f t="shared" si="4"/>
        <v>Приложение №50-ГРС.АС</v>
      </c>
      <c r="J74" s="107" t="s">
        <v>182</v>
      </c>
      <c r="K74" s="107" t="s">
        <v>195</v>
      </c>
      <c r="L74" s="135"/>
      <c r="M74" s="83"/>
      <c r="N74" s="82"/>
      <c r="O74" s="82"/>
      <c r="P74" s="82"/>
      <c r="Q74" s="82"/>
      <c r="R74" s="82"/>
      <c r="S74" s="82"/>
    </row>
    <row r="75" spans="1:19" s="84" customFormat="1" ht="72" x14ac:dyDescent="0.25">
      <c r="A75" s="278" t="s">
        <v>375</v>
      </c>
      <c r="B75" s="83">
        <v>44973</v>
      </c>
      <c r="C75" s="83">
        <v>44974</v>
      </c>
      <c r="D75" s="82" t="s">
        <v>155</v>
      </c>
      <c r="E75" s="85" t="s">
        <v>382</v>
      </c>
      <c r="F75" s="82" t="s">
        <v>171</v>
      </c>
      <c r="G75" s="111" t="s">
        <v>400</v>
      </c>
      <c r="H75" s="82" t="s">
        <v>208</v>
      </c>
      <c r="I75" s="82" t="str">
        <f t="shared" si="4"/>
        <v>Приложение №50.1-ГРС.АС</v>
      </c>
      <c r="J75" s="107" t="s">
        <v>182</v>
      </c>
      <c r="K75" s="107" t="s">
        <v>195</v>
      </c>
      <c r="L75" s="135"/>
      <c r="M75" s="83"/>
      <c r="N75" s="82"/>
      <c r="O75" s="82"/>
      <c r="P75" s="82"/>
      <c r="Q75" s="82"/>
      <c r="R75" s="82"/>
      <c r="S75" s="82"/>
    </row>
    <row r="76" spans="1:19" s="84" customFormat="1" ht="48" x14ac:dyDescent="0.25">
      <c r="A76" s="278" t="s">
        <v>281</v>
      </c>
      <c r="B76" s="83">
        <v>44973</v>
      </c>
      <c r="C76" s="83">
        <v>44974</v>
      </c>
      <c r="D76" s="82" t="s">
        <v>376</v>
      </c>
      <c r="E76" s="85" t="s">
        <v>405</v>
      </c>
      <c r="F76" s="82" t="s">
        <v>377</v>
      </c>
      <c r="G76" s="111" t="s">
        <v>378</v>
      </c>
      <c r="H76" s="82" t="s">
        <v>164</v>
      </c>
      <c r="I76" s="82" t="str">
        <f t="shared" si="4"/>
        <v>Приложение №51-ГРС.АС</v>
      </c>
      <c r="J76" s="107" t="s">
        <v>182</v>
      </c>
      <c r="K76" s="107" t="s">
        <v>195</v>
      </c>
      <c r="L76" s="135"/>
      <c r="M76" s="83"/>
      <c r="N76" s="82"/>
      <c r="O76" s="82"/>
      <c r="P76" s="82"/>
      <c r="Q76" s="82"/>
      <c r="R76" s="82"/>
      <c r="S76" s="82"/>
    </row>
    <row r="77" spans="1:19" s="84" customFormat="1" ht="72" x14ac:dyDescent="0.25">
      <c r="A77" s="278" t="s">
        <v>383</v>
      </c>
      <c r="B77" s="83">
        <v>44973</v>
      </c>
      <c r="C77" s="83">
        <v>44974</v>
      </c>
      <c r="D77" s="82" t="s">
        <v>155</v>
      </c>
      <c r="E77" s="85" t="s">
        <v>384</v>
      </c>
      <c r="F77" s="82" t="s">
        <v>171</v>
      </c>
      <c r="G77" s="111" t="s">
        <v>400</v>
      </c>
      <c r="H77" s="82" t="s">
        <v>164</v>
      </c>
      <c r="I77" s="82" t="str">
        <f t="shared" si="4"/>
        <v>Приложение №51.1-ГРС.АС</v>
      </c>
      <c r="J77" s="107" t="s">
        <v>182</v>
      </c>
      <c r="K77" s="107" t="s">
        <v>195</v>
      </c>
      <c r="L77" s="135"/>
      <c r="M77" s="83"/>
      <c r="N77" s="82"/>
      <c r="O77" s="82"/>
      <c r="P77" s="82"/>
      <c r="Q77" s="82"/>
      <c r="R77" s="82"/>
      <c r="S77" s="82"/>
    </row>
    <row r="78" spans="1:19" s="84" customFormat="1" ht="48" x14ac:dyDescent="0.25">
      <c r="A78" s="278" t="s">
        <v>282</v>
      </c>
      <c r="B78" s="83">
        <v>44973</v>
      </c>
      <c r="C78" s="83">
        <v>44974</v>
      </c>
      <c r="D78" s="82" t="s">
        <v>376</v>
      </c>
      <c r="E78" s="85" t="s">
        <v>406</v>
      </c>
      <c r="F78" s="82" t="s">
        <v>377</v>
      </c>
      <c r="G78" s="111" t="s">
        <v>378</v>
      </c>
      <c r="H78" s="82" t="s">
        <v>180</v>
      </c>
      <c r="I78" s="82" t="str">
        <f t="shared" si="4"/>
        <v>Приложение №52-ГРС.АС</v>
      </c>
      <c r="J78" s="107" t="s">
        <v>182</v>
      </c>
      <c r="K78" s="107" t="s">
        <v>195</v>
      </c>
      <c r="L78" s="135"/>
      <c r="M78" s="83"/>
      <c r="N78" s="82"/>
      <c r="O78" s="82"/>
      <c r="P78" s="82"/>
      <c r="Q78" s="82"/>
      <c r="R78" s="82"/>
      <c r="S78" s="82"/>
    </row>
    <row r="79" spans="1:19" s="84" customFormat="1" ht="72" x14ac:dyDescent="0.25">
      <c r="A79" s="278" t="s">
        <v>385</v>
      </c>
      <c r="B79" s="83">
        <v>44973</v>
      </c>
      <c r="C79" s="83">
        <v>44974</v>
      </c>
      <c r="D79" s="82" t="s">
        <v>155</v>
      </c>
      <c r="E79" s="85" t="s">
        <v>388</v>
      </c>
      <c r="F79" s="82" t="s">
        <v>171</v>
      </c>
      <c r="G79" s="111" t="s">
        <v>400</v>
      </c>
      <c r="H79" s="82" t="s">
        <v>180</v>
      </c>
      <c r="I79" s="82" t="str">
        <f t="shared" si="4"/>
        <v>Приложение №52.1-ГРС.АС</v>
      </c>
      <c r="J79" s="107" t="s">
        <v>182</v>
      </c>
      <c r="K79" s="107" t="s">
        <v>195</v>
      </c>
      <c r="L79" s="135"/>
      <c r="M79" s="83"/>
      <c r="N79" s="82"/>
      <c r="O79" s="82"/>
      <c r="P79" s="82"/>
      <c r="Q79" s="82"/>
      <c r="R79" s="82"/>
      <c r="S79" s="82"/>
    </row>
    <row r="80" spans="1:19" s="84" customFormat="1" ht="48" x14ac:dyDescent="0.25">
      <c r="A80" s="278" t="s">
        <v>283</v>
      </c>
      <c r="B80" s="83">
        <v>44973</v>
      </c>
      <c r="C80" s="83">
        <v>44974</v>
      </c>
      <c r="D80" s="82" t="s">
        <v>376</v>
      </c>
      <c r="E80" s="85" t="s">
        <v>407</v>
      </c>
      <c r="F80" s="82" t="s">
        <v>377</v>
      </c>
      <c r="G80" s="111" t="s">
        <v>378</v>
      </c>
      <c r="H80" s="82" t="s">
        <v>180</v>
      </c>
      <c r="I80" s="82" t="str">
        <f t="shared" si="4"/>
        <v>Приложение №53-ГРС.АС</v>
      </c>
      <c r="J80" s="107" t="s">
        <v>182</v>
      </c>
      <c r="K80" s="107" t="s">
        <v>195</v>
      </c>
      <c r="L80" s="135"/>
      <c r="M80" s="83"/>
      <c r="N80" s="82"/>
      <c r="O80" s="82"/>
      <c r="P80" s="82"/>
      <c r="Q80" s="82"/>
      <c r="R80" s="82"/>
      <c r="S80" s="82"/>
    </row>
    <row r="81" spans="1:19" s="84" customFormat="1" ht="72" x14ac:dyDescent="0.25">
      <c r="A81" s="278" t="s">
        <v>386</v>
      </c>
      <c r="B81" s="83">
        <v>44973</v>
      </c>
      <c r="C81" s="83">
        <v>44974</v>
      </c>
      <c r="D81" s="82" t="s">
        <v>155</v>
      </c>
      <c r="E81" s="85" t="s">
        <v>389</v>
      </c>
      <c r="F81" s="82" t="s">
        <v>171</v>
      </c>
      <c r="G81" s="111" t="s">
        <v>400</v>
      </c>
      <c r="H81" s="82" t="s">
        <v>180</v>
      </c>
      <c r="I81" s="82" t="str">
        <f t="shared" si="4"/>
        <v>Приложение №53.1-ГРС.АС</v>
      </c>
      <c r="J81" s="107" t="s">
        <v>182</v>
      </c>
      <c r="K81" s="107" t="s">
        <v>195</v>
      </c>
      <c r="L81" s="135"/>
      <c r="M81" s="83"/>
      <c r="N81" s="82"/>
      <c r="O81" s="82"/>
      <c r="P81" s="82"/>
      <c r="Q81" s="82"/>
      <c r="R81" s="82"/>
      <c r="S81" s="82"/>
    </row>
    <row r="82" spans="1:19" s="84" customFormat="1" ht="48" x14ac:dyDescent="0.25">
      <c r="A82" s="278" t="s">
        <v>284</v>
      </c>
      <c r="B82" s="83">
        <v>44973</v>
      </c>
      <c r="C82" s="83">
        <v>44974</v>
      </c>
      <c r="D82" s="82" t="s">
        <v>376</v>
      </c>
      <c r="E82" s="85" t="s">
        <v>408</v>
      </c>
      <c r="F82" s="82" t="s">
        <v>377</v>
      </c>
      <c r="G82" s="111" t="s">
        <v>378</v>
      </c>
      <c r="H82" s="82" t="s">
        <v>181</v>
      </c>
      <c r="I82" s="82" t="str">
        <f t="shared" si="4"/>
        <v>Приложение №54-ГРС.АС</v>
      </c>
      <c r="J82" s="107" t="s">
        <v>182</v>
      </c>
      <c r="K82" s="107" t="s">
        <v>195</v>
      </c>
      <c r="L82" s="135"/>
      <c r="M82" s="83"/>
      <c r="N82" s="82"/>
      <c r="O82" s="82"/>
      <c r="P82" s="82"/>
      <c r="Q82" s="82"/>
      <c r="R82" s="82"/>
      <c r="S82" s="82"/>
    </row>
    <row r="83" spans="1:19" s="84" customFormat="1" ht="72" x14ac:dyDescent="0.25">
      <c r="A83" s="278" t="s">
        <v>387</v>
      </c>
      <c r="B83" s="83">
        <v>44973</v>
      </c>
      <c r="C83" s="83">
        <v>44974</v>
      </c>
      <c r="D83" s="82" t="s">
        <v>155</v>
      </c>
      <c r="E83" s="85" t="s">
        <v>390</v>
      </c>
      <c r="F83" s="82" t="s">
        <v>171</v>
      </c>
      <c r="G83" s="111" t="s">
        <v>400</v>
      </c>
      <c r="H83" s="82" t="s">
        <v>181</v>
      </c>
      <c r="I83" s="82" t="str">
        <f t="shared" si="4"/>
        <v>Приложение №54.1-ГРС.АС</v>
      </c>
      <c r="J83" s="107" t="s">
        <v>182</v>
      </c>
      <c r="K83" s="107" t="s">
        <v>195</v>
      </c>
      <c r="L83" s="135"/>
      <c r="M83" s="83"/>
      <c r="N83" s="82"/>
      <c r="O83" s="82"/>
      <c r="P83" s="82"/>
      <c r="Q83" s="82"/>
      <c r="R83" s="82"/>
      <c r="S83" s="82"/>
    </row>
    <row r="84" spans="1:19" s="84" customFormat="1" ht="63.75" customHeight="1" x14ac:dyDescent="0.25">
      <c r="A84" s="278" t="s">
        <v>285</v>
      </c>
      <c r="B84" s="83">
        <v>44968</v>
      </c>
      <c r="C84" s="83">
        <v>44975</v>
      </c>
      <c r="D84" s="82" t="s">
        <v>155</v>
      </c>
      <c r="E84" s="85" t="s">
        <v>218</v>
      </c>
      <c r="F84" s="82" t="s">
        <v>171</v>
      </c>
      <c r="G84" s="82" t="s">
        <v>318</v>
      </c>
      <c r="H84" s="82" t="s">
        <v>215</v>
      </c>
      <c r="I84" s="82" t="str">
        <f>CONCATENATE("Приложение"," ","№", A84, ", ","протокол испытания №1П-ФМ9 от 18.02.23")</f>
        <v>Приложение №55-ГРС.АС, протокол испытания №1П-ФМ9 от 18.02.23</v>
      </c>
      <c r="J84" s="107" t="s">
        <v>182</v>
      </c>
      <c r="K84" s="107" t="s">
        <v>195</v>
      </c>
      <c r="L84" s="135"/>
      <c r="M84" s="83"/>
      <c r="N84" s="82"/>
      <c r="O84" s="82"/>
      <c r="P84" s="82"/>
      <c r="Q84" s="82"/>
      <c r="R84" s="82"/>
      <c r="S84" s="82"/>
    </row>
    <row r="85" spans="1:19" s="84" customFormat="1" ht="60" x14ac:dyDescent="0.25">
      <c r="A85" s="278" t="s">
        <v>286</v>
      </c>
      <c r="B85" s="83">
        <v>44968</v>
      </c>
      <c r="C85" s="83">
        <v>44975</v>
      </c>
      <c r="D85" s="82" t="s">
        <v>155</v>
      </c>
      <c r="E85" s="85" t="s">
        <v>219</v>
      </c>
      <c r="F85" s="82" t="s">
        <v>171</v>
      </c>
      <c r="G85" s="82" t="s">
        <v>318</v>
      </c>
      <c r="H85" s="82" t="s">
        <v>215</v>
      </c>
      <c r="I85" s="82" t="str">
        <f>CONCATENATE("Приложение"," ","№", A85, ", ","протокол испытания №1П-ФМ10 от 18.02.23")</f>
        <v>Приложение №56-ГРС.АС, протокол испытания №1П-ФМ10 от 18.02.23</v>
      </c>
      <c r="J85" s="107" t="s">
        <v>182</v>
      </c>
      <c r="K85" s="107" t="s">
        <v>195</v>
      </c>
      <c r="L85" s="135"/>
      <c r="M85" s="83"/>
      <c r="N85" s="82"/>
      <c r="O85" s="82"/>
      <c r="P85" s="82"/>
      <c r="Q85" s="82"/>
      <c r="R85" s="82"/>
      <c r="S85" s="82"/>
    </row>
    <row r="86" spans="1:19" s="84" customFormat="1" ht="60" x14ac:dyDescent="0.25">
      <c r="A86" s="278" t="s">
        <v>287</v>
      </c>
      <c r="B86" s="83">
        <v>44968</v>
      </c>
      <c r="C86" s="83">
        <v>44975</v>
      </c>
      <c r="D86" s="82" t="s">
        <v>155</v>
      </c>
      <c r="E86" s="85" t="s">
        <v>220</v>
      </c>
      <c r="F86" s="82" t="s">
        <v>171</v>
      </c>
      <c r="G86" s="82" t="s">
        <v>318</v>
      </c>
      <c r="H86" s="82" t="s">
        <v>216</v>
      </c>
      <c r="I86" s="82" t="str">
        <f>CONCATENATE("Приложение"," ","№", A86, ", ","протокол испытания №1П-ФОМ2 от 18.02.23")</f>
        <v>Приложение №57-ГРС.АС, протокол испытания №1П-ФОМ2 от 18.02.23</v>
      </c>
      <c r="J86" s="107" t="s">
        <v>182</v>
      </c>
      <c r="K86" s="107" t="s">
        <v>195</v>
      </c>
      <c r="L86" s="135"/>
      <c r="M86" s="83"/>
      <c r="N86" s="82"/>
      <c r="O86" s="82"/>
      <c r="P86" s="82"/>
      <c r="Q86" s="82"/>
      <c r="R86" s="82"/>
      <c r="S86" s="82"/>
    </row>
    <row r="87" spans="1:19" s="84" customFormat="1" ht="60" x14ac:dyDescent="0.25">
      <c r="A87" s="278" t="s">
        <v>288</v>
      </c>
      <c r="B87" s="83">
        <v>44968</v>
      </c>
      <c r="C87" s="83">
        <v>44975</v>
      </c>
      <c r="D87" s="82" t="s">
        <v>155</v>
      </c>
      <c r="E87" s="85" t="s">
        <v>333</v>
      </c>
      <c r="F87" s="82" t="s">
        <v>171</v>
      </c>
      <c r="G87" s="82" t="s">
        <v>318</v>
      </c>
      <c r="H87" s="82" t="s">
        <v>217</v>
      </c>
      <c r="I87" s="82" t="str">
        <f>CONCATENATE("Приложение"," ","№", A87, ", ","протокол испытания №1П-ФОМ3 от 18.02.23")</f>
        <v>Приложение №58-ГРС.АС, протокол испытания №1П-ФОМ3 от 18.02.23</v>
      </c>
      <c r="J87" s="107" t="s">
        <v>182</v>
      </c>
      <c r="K87" s="107" t="s">
        <v>195</v>
      </c>
      <c r="L87" s="135"/>
      <c r="M87" s="83"/>
      <c r="N87" s="82"/>
      <c r="O87" s="82"/>
      <c r="P87" s="82"/>
      <c r="Q87" s="82"/>
      <c r="R87" s="82"/>
      <c r="S87" s="82"/>
    </row>
    <row r="88" spans="1:19" s="84" customFormat="1" ht="60" x14ac:dyDescent="0.25">
      <c r="A88" s="278" t="s">
        <v>289</v>
      </c>
      <c r="B88" s="83">
        <v>44968</v>
      </c>
      <c r="C88" s="83">
        <v>44975</v>
      </c>
      <c r="D88" s="82" t="s">
        <v>155</v>
      </c>
      <c r="E88" s="85" t="s">
        <v>332</v>
      </c>
      <c r="F88" s="82" t="s">
        <v>171</v>
      </c>
      <c r="G88" s="82" t="s">
        <v>318</v>
      </c>
      <c r="H88" s="82" t="s">
        <v>217</v>
      </c>
      <c r="I88" s="82" t="str">
        <f>CONCATENATE("Приложение"," ","№", A88, ", ","протокол испытания №1П-ФОМ4 от 18.02.23")</f>
        <v>Приложение №59-ГРС.АС, протокол испытания №1П-ФОМ4 от 18.02.23</v>
      </c>
      <c r="J88" s="107" t="s">
        <v>182</v>
      </c>
      <c r="K88" s="107" t="s">
        <v>195</v>
      </c>
      <c r="L88" s="135"/>
      <c r="M88" s="83"/>
      <c r="N88" s="82"/>
      <c r="O88" s="82"/>
      <c r="P88" s="82"/>
      <c r="Q88" s="82"/>
      <c r="R88" s="82"/>
      <c r="S88" s="82"/>
    </row>
    <row r="89" spans="1:19" s="84" customFormat="1" ht="60" x14ac:dyDescent="0.25">
      <c r="A89" s="278" t="s">
        <v>290</v>
      </c>
      <c r="B89" s="83">
        <v>44968</v>
      </c>
      <c r="C89" s="83">
        <v>44975</v>
      </c>
      <c r="D89" s="82" t="s">
        <v>155</v>
      </c>
      <c r="E89" s="85" t="s">
        <v>221</v>
      </c>
      <c r="F89" s="82" t="s">
        <v>171</v>
      </c>
      <c r="G89" s="82" t="s">
        <v>318</v>
      </c>
      <c r="H89" s="82" t="s">
        <v>208</v>
      </c>
      <c r="I89" s="82" t="str">
        <f>CONCATENATE("Приложение"," ","№", A89, ", ","протокол испытания №1П-ФОМ5 от 18.02.23")</f>
        <v>Приложение №60-ГРС.АС, протокол испытания №1П-ФОМ5 от 18.02.23</v>
      </c>
      <c r="J89" s="107" t="s">
        <v>182</v>
      </c>
      <c r="K89" s="107" t="s">
        <v>195</v>
      </c>
      <c r="L89" s="136"/>
      <c r="M89" s="95"/>
      <c r="N89" s="276"/>
      <c r="O89" s="276"/>
      <c r="P89" s="276"/>
      <c r="Q89" s="276"/>
      <c r="R89" s="82"/>
      <c r="S89" s="82"/>
    </row>
    <row r="90" spans="1:19" s="84" customFormat="1" ht="58.5" customHeight="1" x14ac:dyDescent="0.25">
      <c r="A90" s="278" t="s">
        <v>291</v>
      </c>
      <c r="B90" s="83">
        <v>44968</v>
      </c>
      <c r="C90" s="83">
        <v>44975</v>
      </c>
      <c r="D90" s="82" t="s">
        <v>155</v>
      </c>
      <c r="E90" s="85" t="s">
        <v>368</v>
      </c>
      <c r="F90" s="82" t="s">
        <v>171</v>
      </c>
      <c r="G90" s="82" t="s">
        <v>318</v>
      </c>
      <c r="H90" s="82" t="s">
        <v>265</v>
      </c>
      <c r="I90" s="82" t="str">
        <f>CONCATENATE("Приложение"," ","№", A90, ", ","протокол испытания №1П-ФмМ1 от 18.02.23")</f>
        <v>Приложение №61-ГРС.АС, протокол испытания №1П-ФмМ1 от 18.02.23</v>
      </c>
      <c r="J90" s="107" t="s">
        <v>182</v>
      </c>
      <c r="K90" s="107" t="s">
        <v>195</v>
      </c>
      <c r="L90" s="125"/>
      <c r="M90" s="83"/>
      <c r="N90" s="82"/>
      <c r="O90" s="82"/>
      <c r="P90" s="82"/>
      <c r="Q90" s="82"/>
      <c r="R90" s="125"/>
      <c r="S90" s="82"/>
    </row>
    <row r="91" spans="1:19" s="84" customFormat="1" ht="90" x14ac:dyDescent="0.25">
      <c r="A91" s="278" t="s">
        <v>292</v>
      </c>
      <c r="B91" s="83">
        <v>44974</v>
      </c>
      <c r="C91" s="83">
        <v>44975</v>
      </c>
      <c r="D91" s="82" t="s">
        <v>250</v>
      </c>
      <c r="E91" s="85" t="s">
        <v>255</v>
      </c>
      <c r="F91" s="82" t="s">
        <v>369</v>
      </c>
      <c r="G91" s="131" t="s">
        <v>353</v>
      </c>
      <c r="H91" s="82" t="s">
        <v>207</v>
      </c>
      <c r="I91" s="82" t="str">
        <f t="shared" ref="I91:I96" si="5">CONCATENATE("Приложение"," ","№", A91,)</f>
        <v>Приложение №62-ГРС.АС</v>
      </c>
      <c r="J91" s="107" t="s">
        <v>182</v>
      </c>
      <c r="K91" s="107" t="s">
        <v>196</v>
      </c>
      <c r="L91" s="135"/>
      <c r="M91" s="127"/>
      <c r="N91" s="122"/>
      <c r="O91" s="122"/>
      <c r="P91" s="122"/>
      <c r="Q91" s="122"/>
      <c r="R91" s="125"/>
      <c r="S91" s="82"/>
    </row>
    <row r="92" spans="1:19" s="84" customFormat="1" ht="90" x14ac:dyDescent="0.25">
      <c r="A92" s="278" t="s">
        <v>293</v>
      </c>
      <c r="B92" s="83">
        <v>44974</v>
      </c>
      <c r="C92" s="83">
        <v>44975</v>
      </c>
      <c r="D92" s="82" t="s">
        <v>251</v>
      </c>
      <c r="E92" s="85" t="s">
        <v>477</v>
      </c>
      <c r="F92" s="82" t="s">
        <v>369</v>
      </c>
      <c r="G92" s="131" t="s">
        <v>353</v>
      </c>
      <c r="H92" s="82" t="s">
        <v>208</v>
      </c>
      <c r="I92" s="82" t="str">
        <f t="shared" si="5"/>
        <v>Приложение №63-ГРС.АС</v>
      </c>
      <c r="J92" s="107" t="s">
        <v>182</v>
      </c>
      <c r="K92" s="107" t="s">
        <v>196</v>
      </c>
      <c r="L92" s="135"/>
      <c r="M92" s="127"/>
      <c r="N92" s="122"/>
      <c r="O92" s="122"/>
      <c r="P92" s="122"/>
      <c r="Q92" s="122"/>
      <c r="R92" s="82"/>
      <c r="S92" s="82"/>
    </row>
    <row r="93" spans="1:19" s="84" customFormat="1" ht="90" x14ac:dyDescent="0.25">
      <c r="A93" s="278" t="s">
        <v>294</v>
      </c>
      <c r="B93" s="83">
        <v>44974</v>
      </c>
      <c r="C93" s="83">
        <v>44975</v>
      </c>
      <c r="D93" s="82" t="s">
        <v>190</v>
      </c>
      <c r="E93" s="85" t="s">
        <v>478</v>
      </c>
      <c r="F93" s="82" t="s">
        <v>369</v>
      </c>
      <c r="G93" s="131" t="s">
        <v>353</v>
      </c>
      <c r="H93" s="82" t="s">
        <v>164</v>
      </c>
      <c r="I93" s="82" t="str">
        <f t="shared" si="5"/>
        <v>Приложение №64-ГРС.АС</v>
      </c>
      <c r="J93" s="107" t="s">
        <v>182</v>
      </c>
      <c r="K93" s="107" t="s">
        <v>196</v>
      </c>
      <c r="L93" s="135"/>
      <c r="M93" s="83"/>
      <c r="N93" s="82"/>
      <c r="O93" s="82"/>
      <c r="P93" s="82"/>
      <c r="Q93" s="82"/>
      <c r="R93" s="82"/>
      <c r="S93" s="82"/>
    </row>
    <row r="94" spans="1:19" s="84" customFormat="1" ht="90" x14ac:dyDescent="0.25">
      <c r="A94" s="278" t="s">
        <v>295</v>
      </c>
      <c r="B94" s="83">
        <v>44974</v>
      </c>
      <c r="C94" s="83">
        <v>44975</v>
      </c>
      <c r="D94" s="82" t="s">
        <v>252</v>
      </c>
      <c r="E94" s="85" t="s">
        <v>479</v>
      </c>
      <c r="F94" s="82" t="s">
        <v>369</v>
      </c>
      <c r="G94" s="131" t="s">
        <v>353</v>
      </c>
      <c r="H94" s="82" t="s">
        <v>180</v>
      </c>
      <c r="I94" s="82" t="str">
        <f t="shared" si="5"/>
        <v>Приложение №65-ГРС.АС</v>
      </c>
      <c r="J94" s="107" t="s">
        <v>182</v>
      </c>
      <c r="K94" s="107" t="s">
        <v>196</v>
      </c>
      <c r="L94" s="135"/>
      <c r="M94" s="83"/>
      <c r="N94" s="82"/>
      <c r="O94" s="82"/>
      <c r="P94" s="82"/>
      <c r="Q94" s="82"/>
      <c r="R94" s="82"/>
      <c r="S94" s="82"/>
    </row>
    <row r="95" spans="1:19" s="84" customFormat="1" ht="90" x14ac:dyDescent="0.25">
      <c r="A95" s="278" t="s">
        <v>296</v>
      </c>
      <c r="B95" s="83">
        <v>44974</v>
      </c>
      <c r="C95" s="83">
        <v>44975</v>
      </c>
      <c r="D95" s="82" t="s">
        <v>253</v>
      </c>
      <c r="E95" s="85" t="s">
        <v>480</v>
      </c>
      <c r="F95" s="82" t="s">
        <v>369</v>
      </c>
      <c r="G95" s="131" t="s">
        <v>353</v>
      </c>
      <c r="H95" s="82" t="s">
        <v>180</v>
      </c>
      <c r="I95" s="82" t="str">
        <f t="shared" si="5"/>
        <v>Приложение №66-ГРС.АС</v>
      </c>
      <c r="J95" s="107" t="s">
        <v>182</v>
      </c>
      <c r="K95" s="107" t="s">
        <v>196</v>
      </c>
      <c r="L95" s="136"/>
      <c r="M95" s="95"/>
      <c r="N95" s="276"/>
      <c r="O95" s="276"/>
      <c r="P95" s="276"/>
      <c r="Q95" s="276"/>
      <c r="R95" s="82"/>
      <c r="S95" s="82"/>
    </row>
    <row r="96" spans="1:19" s="84" customFormat="1" ht="90" x14ac:dyDescent="0.25">
      <c r="A96" s="278" t="s">
        <v>297</v>
      </c>
      <c r="B96" s="83">
        <v>44974</v>
      </c>
      <c r="C96" s="83">
        <v>44975</v>
      </c>
      <c r="D96" s="82" t="s">
        <v>254</v>
      </c>
      <c r="E96" s="85" t="s">
        <v>256</v>
      </c>
      <c r="F96" s="82" t="s">
        <v>369</v>
      </c>
      <c r="G96" s="131" t="s">
        <v>353</v>
      </c>
      <c r="H96" s="82" t="s">
        <v>181</v>
      </c>
      <c r="I96" s="82" t="str">
        <f t="shared" si="5"/>
        <v>Приложение №67-ГРС.АС</v>
      </c>
      <c r="J96" s="107" t="s">
        <v>182</v>
      </c>
      <c r="K96" s="107" t="s">
        <v>196</v>
      </c>
      <c r="L96" s="125"/>
      <c r="M96" s="83"/>
      <c r="N96" s="82"/>
      <c r="O96" s="82"/>
      <c r="P96" s="82"/>
      <c r="Q96" s="82"/>
      <c r="R96" s="125"/>
      <c r="S96" s="82"/>
    </row>
    <row r="97" spans="1:19" s="84" customFormat="1" ht="75" x14ac:dyDescent="0.25">
      <c r="A97" s="278" t="s">
        <v>298</v>
      </c>
      <c r="B97" s="83">
        <v>44976</v>
      </c>
      <c r="C97" s="83">
        <v>44976</v>
      </c>
      <c r="D97" s="82" t="s">
        <v>174</v>
      </c>
      <c r="E97" s="85" t="s">
        <v>339</v>
      </c>
      <c r="F97" s="82" t="s">
        <v>156</v>
      </c>
      <c r="G97" s="92" t="s">
        <v>152</v>
      </c>
      <c r="H97" s="82" t="s">
        <v>266</v>
      </c>
      <c r="I97" s="82" t="str">
        <f>CONCATENATE("Приложение"," ","№", A97, ", ","протокол уплотнения №6/ГРС")</f>
        <v>Приложение №68-ГРС.АС, протокол уплотнения №6/ГРС</v>
      </c>
      <c r="J97" s="107" t="s">
        <v>153</v>
      </c>
      <c r="K97" s="107" t="s">
        <v>195</v>
      </c>
      <c r="L97" s="135"/>
      <c r="M97" s="127"/>
      <c r="N97" s="122"/>
      <c r="O97" s="122"/>
      <c r="P97" s="122"/>
      <c r="Q97" s="122"/>
      <c r="R97" s="82"/>
      <c r="S97" s="82"/>
    </row>
    <row r="98" spans="1:19" s="84" customFormat="1" ht="60" x14ac:dyDescent="0.25">
      <c r="A98" s="278" t="s">
        <v>299</v>
      </c>
      <c r="B98" s="83">
        <v>44976</v>
      </c>
      <c r="C98" s="83">
        <v>44976</v>
      </c>
      <c r="D98" s="82" t="s">
        <v>340</v>
      </c>
      <c r="E98" s="85" t="s">
        <v>367</v>
      </c>
      <c r="F98" s="82" t="s">
        <v>156</v>
      </c>
      <c r="G98" s="92" t="s">
        <v>152</v>
      </c>
      <c r="H98" s="82" t="s">
        <v>267</v>
      </c>
      <c r="I98" s="82" t="str">
        <f>CONCATENATE("Приложение"," ","№", A98, ", ","протокол уплотнения №7/ГРС")</f>
        <v>Приложение №69-ГРС.АС, протокол уплотнения №7/ГРС</v>
      </c>
      <c r="J98" s="107" t="s">
        <v>153</v>
      </c>
      <c r="K98" s="107" t="s">
        <v>195</v>
      </c>
      <c r="L98" s="135"/>
      <c r="M98" s="83"/>
      <c r="N98" s="82"/>
      <c r="O98" s="82"/>
      <c r="P98" s="82"/>
      <c r="Q98" s="82"/>
      <c r="R98" s="82"/>
      <c r="S98" s="82"/>
    </row>
    <row r="99" spans="1:19" s="84" customFormat="1" ht="51" x14ac:dyDescent="0.25">
      <c r="A99" s="278" t="s">
        <v>300</v>
      </c>
      <c r="B99" s="83">
        <v>44977</v>
      </c>
      <c r="C99" s="83">
        <v>44977</v>
      </c>
      <c r="D99" s="82" t="s">
        <v>172</v>
      </c>
      <c r="E99" s="85" t="s">
        <v>350</v>
      </c>
      <c r="F99" s="82" t="s">
        <v>173</v>
      </c>
      <c r="G99" s="120" t="s">
        <v>222</v>
      </c>
      <c r="H99" s="82" t="s">
        <v>266</v>
      </c>
      <c r="I99" s="82" t="str">
        <f t="shared" ref="I99:I115" si="6">CONCATENATE("Приложение"," ","№", A99,)</f>
        <v>Приложение №70-ГРС.АС</v>
      </c>
      <c r="J99" s="107" t="s">
        <v>182</v>
      </c>
      <c r="K99" s="107" t="s">
        <v>195</v>
      </c>
      <c r="L99" s="135"/>
      <c r="M99" s="83"/>
      <c r="N99" s="82"/>
      <c r="O99" s="82"/>
      <c r="P99" s="82"/>
      <c r="Q99" s="82"/>
      <c r="R99" s="82"/>
      <c r="S99" s="82"/>
    </row>
    <row r="100" spans="1:19" s="84" customFormat="1" ht="51" x14ac:dyDescent="0.25">
      <c r="A100" s="279" t="s">
        <v>301</v>
      </c>
      <c r="B100" s="95">
        <v>44977</v>
      </c>
      <c r="C100" s="95">
        <v>44977</v>
      </c>
      <c r="D100" s="276" t="s">
        <v>172</v>
      </c>
      <c r="E100" s="157" t="s">
        <v>261</v>
      </c>
      <c r="F100" s="276" t="s">
        <v>173</v>
      </c>
      <c r="G100" s="158" t="s">
        <v>222</v>
      </c>
      <c r="H100" s="276" t="s">
        <v>267</v>
      </c>
      <c r="I100" s="276" t="str">
        <f t="shared" si="6"/>
        <v>Приложение №71-ГРС.АС</v>
      </c>
      <c r="J100" s="162" t="s">
        <v>182</v>
      </c>
      <c r="K100" s="107" t="s">
        <v>195</v>
      </c>
      <c r="L100" s="135"/>
      <c r="M100" s="83"/>
      <c r="N100" s="82"/>
      <c r="O100" s="82"/>
      <c r="P100" s="82"/>
      <c r="Q100" s="82"/>
      <c r="R100" s="82"/>
      <c r="S100" s="82"/>
    </row>
    <row r="101" spans="1:19" s="84" customFormat="1" ht="78.75" x14ac:dyDescent="0.25">
      <c r="A101" s="278" t="s">
        <v>341</v>
      </c>
      <c r="B101" s="83">
        <v>44977</v>
      </c>
      <c r="C101" s="83">
        <v>44977</v>
      </c>
      <c r="D101" s="82" t="s">
        <v>357</v>
      </c>
      <c r="E101" s="85" t="s">
        <v>669</v>
      </c>
      <c r="F101" s="82" t="s">
        <v>369</v>
      </c>
      <c r="G101" s="131" t="s">
        <v>358</v>
      </c>
      <c r="H101" s="82" t="s">
        <v>215</v>
      </c>
      <c r="I101" s="82" t="str">
        <f t="shared" si="6"/>
        <v>Приложение №72-ГРС.АС</v>
      </c>
      <c r="J101" s="107" t="s">
        <v>182</v>
      </c>
      <c r="K101" s="155" t="s">
        <v>196</v>
      </c>
      <c r="L101" s="135"/>
      <c r="M101" s="83"/>
      <c r="N101" s="82"/>
      <c r="O101" s="82"/>
      <c r="P101" s="82"/>
      <c r="Q101" s="82"/>
      <c r="R101" s="82"/>
      <c r="S101" s="82"/>
    </row>
    <row r="102" spans="1:19" s="84" customFormat="1" ht="78.75" x14ac:dyDescent="0.25">
      <c r="A102" s="163" t="s">
        <v>342</v>
      </c>
      <c r="B102" s="127">
        <v>44977</v>
      </c>
      <c r="C102" s="127">
        <v>44977</v>
      </c>
      <c r="D102" s="122" t="s">
        <v>359</v>
      </c>
      <c r="E102" s="164" t="s">
        <v>670</v>
      </c>
      <c r="F102" s="122" t="s">
        <v>369</v>
      </c>
      <c r="G102" s="166" t="s">
        <v>358</v>
      </c>
      <c r="H102" s="122" t="s">
        <v>215</v>
      </c>
      <c r="I102" s="122" t="str">
        <f t="shared" si="6"/>
        <v>Приложение №73-ГРС.АС</v>
      </c>
      <c r="J102" s="161" t="s">
        <v>182</v>
      </c>
      <c r="K102" s="107" t="s">
        <v>196</v>
      </c>
      <c r="L102" s="135"/>
      <c r="M102" s="83"/>
      <c r="N102" s="82"/>
      <c r="O102" s="82"/>
      <c r="P102" s="82"/>
      <c r="Q102" s="82"/>
      <c r="R102" s="82"/>
      <c r="S102" s="82"/>
    </row>
    <row r="103" spans="1:19" s="84" customFormat="1" ht="48" x14ac:dyDescent="0.25">
      <c r="A103" s="278" t="s">
        <v>343</v>
      </c>
      <c r="B103" s="83">
        <v>44979</v>
      </c>
      <c r="C103" s="83">
        <v>44979</v>
      </c>
      <c r="D103" s="82" t="s">
        <v>376</v>
      </c>
      <c r="E103" s="85" t="s">
        <v>399</v>
      </c>
      <c r="F103" s="82" t="s">
        <v>377</v>
      </c>
      <c r="G103" s="111" t="s">
        <v>378</v>
      </c>
      <c r="H103" s="82" t="s">
        <v>216</v>
      </c>
      <c r="I103" s="82" t="str">
        <f t="shared" si="6"/>
        <v>Приложение №74-ГРС.АС</v>
      </c>
      <c r="J103" s="107" t="s">
        <v>182</v>
      </c>
      <c r="K103" s="107" t="s">
        <v>195</v>
      </c>
      <c r="L103" s="135"/>
      <c r="M103" s="83"/>
      <c r="N103" s="82"/>
      <c r="O103" s="82"/>
      <c r="P103" s="82"/>
      <c r="Q103" s="82"/>
      <c r="R103" s="82"/>
      <c r="S103" s="82"/>
    </row>
    <row r="104" spans="1:19" s="84" customFormat="1" ht="72" x14ac:dyDescent="0.25">
      <c r="A104" s="278" t="s">
        <v>395</v>
      </c>
      <c r="B104" s="83">
        <v>44979</v>
      </c>
      <c r="C104" s="83">
        <v>44979</v>
      </c>
      <c r="D104" s="82" t="s">
        <v>155</v>
      </c>
      <c r="E104" s="85" t="s">
        <v>391</v>
      </c>
      <c r="F104" s="82" t="s">
        <v>171</v>
      </c>
      <c r="G104" s="111" t="s">
        <v>400</v>
      </c>
      <c r="H104" s="82" t="s">
        <v>216</v>
      </c>
      <c r="I104" s="82" t="str">
        <f t="shared" si="6"/>
        <v>Приложение №74.1-ГРС.АС</v>
      </c>
      <c r="J104" s="107" t="s">
        <v>182</v>
      </c>
      <c r="K104" s="107" t="s">
        <v>195</v>
      </c>
      <c r="L104" s="135"/>
      <c r="M104" s="83"/>
      <c r="N104" s="82"/>
      <c r="O104" s="82"/>
      <c r="P104" s="82"/>
      <c r="Q104" s="82"/>
      <c r="R104" s="82"/>
      <c r="S104" s="82"/>
    </row>
    <row r="105" spans="1:19" s="84" customFormat="1" ht="48" x14ac:dyDescent="0.25">
      <c r="A105" s="278" t="s">
        <v>344</v>
      </c>
      <c r="B105" s="83">
        <v>44979</v>
      </c>
      <c r="C105" s="83">
        <v>44979</v>
      </c>
      <c r="D105" s="82" t="s">
        <v>376</v>
      </c>
      <c r="E105" s="85" t="s">
        <v>401</v>
      </c>
      <c r="F105" s="82" t="s">
        <v>377</v>
      </c>
      <c r="G105" s="111" t="s">
        <v>378</v>
      </c>
      <c r="H105" s="82" t="s">
        <v>217</v>
      </c>
      <c r="I105" s="82" t="str">
        <f t="shared" si="6"/>
        <v>Приложение №75-ГРС.АС</v>
      </c>
      <c r="J105" s="107" t="s">
        <v>182</v>
      </c>
      <c r="K105" s="107" t="s">
        <v>195</v>
      </c>
      <c r="L105" s="135"/>
      <c r="M105" s="83"/>
      <c r="N105" s="82"/>
      <c r="O105" s="82"/>
      <c r="P105" s="82"/>
      <c r="Q105" s="82"/>
      <c r="R105" s="82"/>
      <c r="S105" s="82"/>
    </row>
    <row r="106" spans="1:19" s="84" customFormat="1" ht="72" x14ac:dyDescent="0.25">
      <c r="A106" s="278" t="s">
        <v>396</v>
      </c>
      <c r="B106" s="83">
        <v>44979</v>
      </c>
      <c r="C106" s="83">
        <v>44979</v>
      </c>
      <c r="D106" s="82" t="s">
        <v>155</v>
      </c>
      <c r="E106" s="85" t="s">
        <v>392</v>
      </c>
      <c r="F106" s="82" t="s">
        <v>171</v>
      </c>
      <c r="G106" s="111" t="s">
        <v>400</v>
      </c>
      <c r="H106" s="82" t="s">
        <v>217</v>
      </c>
      <c r="I106" s="82" t="str">
        <f t="shared" si="6"/>
        <v>Приложение №75.1-ГРС.АС</v>
      </c>
      <c r="J106" s="107" t="s">
        <v>182</v>
      </c>
      <c r="K106" s="107" t="s">
        <v>195</v>
      </c>
      <c r="L106" s="135"/>
      <c r="M106" s="83"/>
      <c r="N106" s="82"/>
      <c r="O106" s="82"/>
      <c r="P106" s="82"/>
      <c r="Q106" s="82"/>
      <c r="R106" s="82"/>
      <c r="S106" s="82"/>
    </row>
    <row r="107" spans="1:19" s="84" customFormat="1" ht="48" x14ac:dyDescent="0.25">
      <c r="A107" s="278" t="s">
        <v>345</v>
      </c>
      <c r="B107" s="83">
        <v>44979</v>
      </c>
      <c r="C107" s="83">
        <v>44979</v>
      </c>
      <c r="D107" s="82" t="s">
        <v>376</v>
      </c>
      <c r="E107" s="85" t="s">
        <v>402</v>
      </c>
      <c r="F107" s="82" t="s">
        <v>377</v>
      </c>
      <c r="G107" s="111" t="s">
        <v>378</v>
      </c>
      <c r="H107" s="82" t="s">
        <v>217</v>
      </c>
      <c r="I107" s="82" t="str">
        <f t="shared" si="6"/>
        <v>Приложение №76-ГРС.АС</v>
      </c>
      <c r="J107" s="107" t="s">
        <v>182</v>
      </c>
      <c r="K107" s="107" t="s">
        <v>195</v>
      </c>
      <c r="L107" s="135"/>
      <c r="M107" s="83"/>
      <c r="N107" s="82"/>
      <c r="O107" s="82"/>
      <c r="P107" s="82"/>
      <c r="Q107" s="82"/>
      <c r="R107" s="82"/>
      <c r="S107" s="82"/>
    </row>
    <row r="108" spans="1:19" s="84" customFormat="1" ht="72" x14ac:dyDescent="0.25">
      <c r="A108" s="278" t="s">
        <v>397</v>
      </c>
      <c r="B108" s="83">
        <v>44979</v>
      </c>
      <c r="C108" s="83">
        <v>44979</v>
      </c>
      <c r="D108" s="82" t="s">
        <v>155</v>
      </c>
      <c r="E108" s="85" t="s">
        <v>393</v>
      </c>
      <c r="F108" s="82" t="s">
        <v>171</v>
      </c>
      <c r="G108" s="111" t="s">
        <v>400</v>
      </c>
      <c r="H108" s="82" t="s">
        <v>217</v>
      </c>
      <c r="I108" s="82" t="str">
        <f t="shared" si="6"/>
        <v>Приложение №76.1-ГРС.АС</v>
      </c>
      <c r="J108" s="107" t="s">
        <v>182</v>
      </c>
      <c r="K108" s="107" t="s">
        <v>195</v>
      </c>
      <c r="L108" s="135"/>
      <c r="M108" s="83"/>
      <c r="N108" s="82"/>
      <c r="O108" s="82"/>
      <c r="P108" s="82"/>
      <c r="Q108" s="82"/>
      <c r="R108" s="82"/>
      <c r="S108" s="82"/>
    </row>
    <row r="109" spans="1:19" s="84" customFormat="1" ht="48" x14ac:dyDescent="0.25">
      <c r="A109" s="278" t="s">
        <v>346</v>
      </c>
      <c r="B109" s="83">
        <v>44979</v>
      </c>
      <c r="C109" s="83">
        <v>44979</v>
      </c>
      <c r="D109" s="82" t="s">
        <v>376</v>
      </c>
      <c r="E109" s="85" t="s">
        <v>403</v>
      </c>
      <c r="F109" s="82" t="s">
        <v>377</v>
      </c>
      <c r="G109" s="111" t="s">
        <v>378</v>
      </c>
      <c r="H109" s="82" t="s">
        <v>208</v>
      </c>
      <c r="I109" s="82" t="str">
        <f t="shared" si="6"/>
        <v>Приложение №77-ГРС.АС</v>
      </c>
      <c r="J109" s="107" t="s">
        <v>182</v>
      </c>
      <c r="K109" s="107" t="s">
        <v>195</v>
      </c>
      <c r="L109" s="135"/>
      <c r="M109" s="83"/>
      <c r="N109" s="82"/>
      <c r="O109" s="82"/>
      <c r="P109" s="82"/>
      <c r="Q109" s="82"/>
      <c r="R109" s="82"/>
      <c r="S109" s="82"/>
    </row>
    <row r="110" spans="1:19" s="84" customFormat="1" ht="87" customHeight="1" x14ac:dyDescent="0.25">
      <c r="A110" s="278" t="s">
        <v>398</v>
      </c>
      <c r="B110" s="83">
        <v>44979</v>
      </c>
      <c r="C110" s="83">
        <v>44979</v>
      </c>
      <c r="D110" s="82" t="s">
        <v>155</v>
      </c>
      <c r="E110" s="85" t="s">
        <v>394</v>
      </c>
      <c r="F110" s="82" t="s">
        <v>171</v>
      </c>
      <c r="G110" s="111" t="s">
        <v>400</v>
      </c>
      <c r="H110" s="82" t="s">
        <v>208</v>
      </c>
      <c r="I110" s="82" t="str">
        <f t="shared" si="6"/>
        <v>Приложение №77.1-ГРС.АС</v>
      </c>
      <c r="J110" s="107" t="s">
        <v>182</v>
      </c>
      <c r="K110" s="107" t="s">
        <v>195</v>
      </c>
      <c r="L110" s="136"/>
      <c r="M110" s="95"/>
      <c r="N110" s="276"/>
      <c r="O110" s="276"/>
      <c r="P110" s="276"/>
      <c r="Q110" s="276"/>
      <c r="R110" s="82"/>
      <c r="S110" s="82"/>
    </row>
    <row r="111" spans="1:19" s="84" customFormat="1" ht="87" customHeight="1" x14ac:dyDescent="0.25">
      <c r="A111" s="278" t="s">
        <v>612</v>
      </c>
      <c r="B111" s="83">
        <v>44980</v>
      </c>
      <c r="C111" s="83">
        <v>44980</v>
      </c>
      <c r="D111" s="82" t="s">
        <v>529</v>
      </c>
      <c r="E111" s="85" t="s">
        <v>613</v>
      </c>
      <c r="F111" s="82" t="s">
        <v>369</v>
      </c>
      <c r="G111" s="131" t="s">
        <v>358</v>
      </c>
      <c r="H111" s="82" t="s">
        <v>207</v>
      </c>
      <c r="I111" s="82" t="str">
        <f t="shared" si="6"/>
        <v>Приложение №78-ГРС.АС</v>
      </c>
      <c r="J111" s="107" t="s">
        <v>182</v>
      </c>
      <c r="K111" s="107" t="s">
        <v>196</v>
      </c>
      <c r="L111" s="125"/>
      <c r="M111" s="83"/>
      <c r="N111" s="82"/>
      <c r="O111" s="82"/>
      <c r="P111" s="82"/>
      <c r="Q111" s="82"/>
      <c r="R111" s="125"/>
      <c r="S111" s="82"/>
    </row>
    <row r="112" spans="1:19" s="84" customFormat="1" ht="78.75" x14ac:dyDescent="0.25">
      <c r="A112" s="279" t="s">
        <v>347</v>
      </c>
      <c r="B112" s="95">
        <v>44980</v>
      </c>
      <c r="C112" s="95">
        <v>44980</v>
      </c>
      <c r="D112" s="276" t="s">
        <v>171</v>
      </c>
      <c r="E112" s="157" t="s">
        <v>564</v>
      </c>
      <c r="F112" s="276" t="s">
        <v>369</v>
      </c>
      <c r="G112" s="167" t="s">
        <v>358</v>
      </c>
      <c r="H112" s="276" t="s">
        <v>217</v>
      </c>
      <c r="I112" s="276" t="str">
        <f t="shared" si="6"/>
        <v>Приложение №79-ГРС.АС</v>
      </c>
      <c r="J112" s="162" t="s">
        <v>182</v>
      </c>
      <c r="K112" s="107" t="s">
        <v>196</v>
      </c>
      <c r="L112" s="135"/>
      <c r="M112" s="127"/>
      <c r="N112" s="122"/>
      <c r="O112" s="122"/>
      <c r="P112" s="122"/>
      <c r="Q112" s="122"/>
      <c r="R112" s="82"/>
      <c r="S112" s="82"/>
    </row>
    <row r="113" spans="1:19" s="84" customFormat="1" ht="78.75" x14ac:dyDescent="0.25">
      <c r="A113" s="146" t="s">
        <v>671</v>
      </c>
      <c r="B113" s="83">
        <v>44980</v>
      </c>
      <c r="C113" s="83">
        <v>44980</v>
      </c>
      <c r="D113" s="82" t="s">
        <v>171</v>
      </c>
      <c r="E113" s="85" t="s">
        <v>564</v>
      </c>
      <c r="F113" s="82" t="s">
        <v>369</v>
      </c>
      <c r="G113" s="131" t="s">
        <v>358</v>
      </c>
      <c r="H113" s="82" t="s">
        <v>217</v>
      </c>
      <c r="I113" s="82" t="str">
        <f>CONCATENATE("Приложение"," ","№", A113,)</f>
        <v>Приложение №79.1-ГРС.АС</v>
      </c>
      <c r="J113" s="107" t="s">
        <v>182</v>
      </c>
      <c r="K113" s="155" t="s">
        <v>196</v>
      </c>
      <c r="L113" s="135"/>
      <c r="M113" s="127"/>
      <c r="N113" s="122"/>
      <c r="O113" s="122"/>
      <c r="P113" s="122"/>
      <c r="Q113" s="122"/>
      <c r="R113" s="82"/>
      <c r="S113" s="82"/>
    </row>
    <row r="114" spans="1:19" s="84" customFormat="1" ht="82.15" customHeight="1" x14ac:dyDescent="0.25">
      <c r="A114" s="168" t="s">
        <v>348</v>
      </c>
      <c r="B114" s="127">
        <v>44980</v>
      </c>
      <c r="C114" s="127">
        <v>44981</v>
      </c>
      <c r="D114" s="122" t="s">
        <v>171</v>
      </c>
      <c r="E114" s="164" t="s">
        <v>629</v>
      </c>
      <c r="F114" s="122" t="s">
        <v>369</v>
      </c>
      <c r="G114" s="166" t="s">
        <v>358</v>
      </c>
      <c r="H114" s="122" t="s">
        <v>265</v>
      </c>
      <c r="I114" s="122" t="str">
        <f t="shared" si="6"/>
        <v>Приложение №80-ГРС.АС</v>
      </c>
      <c r="J114" s="161" t="s">
        <v>182</v>
      </c>
      <c r="K114" s="107" t="s">
        <v>196</v>
      </c>
      <c r="L114" s="135"/>
      <c r="M114" s="83"/>
      <c r="N114" s="82"/>
      <c r="O114" s="82"/>
      <c r="P114" s="82"/>
      <c r="Q114" s="82"/>
      <c r="R114" s="82"/>
      <c r="S114" s="82"/>
    </row>
    <row r="115" spans="1:19" s="84" customFormat="1" ht="78.75" x14ac:dyDescent="0.25">
      <c r="A115" s="279" t="s">
        <v>349</v>
      </c>
      <c r="B115" s="95">
        <v>44981</v>
      </c>
      <c r="C115" s="95">
        <v>44981</v>
      </c>
      <c r="D115" s="276" t="s">
        <v>171</v>
      </c>
      <c r="E115" s="157" t="s">
        <v>565</v>
      </c>
      <c r="F115" s="276" t="s">
        <v>369</v>
      </c>
      <c r="G115" s="167" t="s">
        <v>358</v>
      </c>
      <c r="H115" s="276" t="s">
        <v>217</v>
      </c>
      <c r="I115" s="276" t="str">
        <f t="shared" si="6"/>
        <v>Приложение №81-ГРС.АС</v>
      </c>
      <c r="J115" s="162" t="s">
        <v>182</v>
      </c>
      <c r="K115" s="107" t="s">
        <v>196</v>
      </c>
      <c r="L115" s="135"/>
      <c r="M115" s="83"/>
      <c r="N115" s="82"/>
      <c r="O115" s="82"/>
      <c r="P115" s="82"/>
      <c r="Q115" s="82"/>
      <c r="R115" s="82"/>
      <c r="S115" s="82"/>
    </row>
    <row r="116" spans="1:19" s="84" customFormat="1" ht="78.75" x14ac:dyDescent="0.25">
      <c r="A116" s="278" t="s">
        <v>672</v>
      </c>
      <c r="B116" s="83">
        <v>44981</v>
      </c>
      <c r="C116" s="83">
        <v>44981</v>
      </c>
      <c r="D116" s="82" t="s">
        <v>171</v>
      </c>
      <c r="E116" s="85" t="s">
        <v>565</v>
      </c>
      <c r="F116" s="82" t="s">
        <v>369</v>
      </c>
      <c r="G116" s="131" t="s">
        <v>358</v>
      </c>
      <c r="H116" s="82" t="s">
        <v>217</v>
      </c>
      <c r="I116" s="82" t="str">
        <f>CONCATENATE("Приложение"," ","№", A116,)</f>
        <v>Приложение №81.1-ГРС.АС</v>
      </c>
      <c r="J116" s="107" t="s">
        <v>182</v>
      </c>
      <c r="K116" s="155" t="s">
        <v>196</v>
      </c>
      <c r="L116" s="135"/>
      <c r="M116" s="83"/>
      <c r="N116" s="82"/>
      <c r="O116" s="82"/>
      <c r="P116" s="82"/>
      <c r="Q116" s="82"/>
      <c r="R116" s="82"/>
      <c r="S116" s="82"/>
    </row>
    <row r="117" spans="1:19" s="84" customFormat="1" ht="60" x14ac:dyDescent="0.25">
      <c r="A117" s="163" t="s">
        <v>351</v>
      </c>
      <c r="B117" s="127">
        <v>44978</v>
      </c>
      <c r="C117" s="127">
        <v>44985</v>
      </c>
      <c r="D117" s="122" t="s">
        <v>155</v>
      </c>
      <c r="E117" s="164" t="s">
        <v>260</v>
      </c>
      <c r="F117" s="122" t="s">
        <v>171</v>
      </c>
      <c r="G117" s="122" t="s">
        <v>364</v>
      </c>
      <c r="H117" s="122" t="s">
        <v>266</v>
      </c>
      <c r="I117" s="122" t="str">
        <f>CONCATENATE("Приложение"," ","№", A117, ", ","протокол испытания №1П-РМ1 от 28.02.23")</f>
        <v>Приложение №82-ГРС.АС, протокол испытания №1П-РМ1 от 28.02.23</v>
      </c>
      <c r="J117" s="161" t="s">
        <v>182</v>
      </c>
      <c r="K117" s="107" t="s">
        <v>195</v>
      </c>
      <c r="L117" s="135"/>
      <c r="M117" s="83"/>
      <c r="N117" s="82"/>
      <c r="O117" s="82"/>
      <c r="P117" s="82"/>
      <c r="Q117" s="82"/>
      <c r="R117" s="82"/>
      <c r="S117" s="82"/>
    </row>
    <row r="118" spans="1:19" s="84" customFormat="1" ht="60" x14ac:dyDescent="0.25">
      <c r="A118" s="279" t="s">
        <v>352</v>
      </c>
      <c r="B118" s="95">
        <v>44978</v>
      </c>
      <c r="C118" s="95">
        <v>44985</v>
      </c>
      <c r="D118" s="276" t="s">
        <v>155</v>
      </c>
      <c r="E118" s="157" t="s">
        <v>259</v>
      </c>
      <c r="F118" s="276" t="s">
        <v>171</v>
      </c>
      <c r="G118" s="276" t="s">
        <v>364</v>
      </c>
      <c r="H118" s="276" t="s">
        <v>267</v>
      </c>
      <c r="I118" s="276" t="str">
        <f>CONCATENATE("Приложение"," ","№", A118, ", ","протокол испытания №1П-РМ3 от 28.02.23")</f>
        <v>Приложение №83-ГРС.АС, протокол испытания №1П-РМ3 от 28.02.23</v>
      </c>
      <c r="J118" s="162" t="s">
        <v>182</v>
      </c>
      <c r="K118" s="107" t="s">
        <v>195</v>
      </c>
      <c r="L118" s="136"/>
      <c r="M118" s="95"/>
      <c r="N118" s="276"/>
      <c r="O118" s="276"/>
      <c r="P118" s="276"/>
      <c r="Q118" s="276"/>
      <c r="R118" s="82"/>
      <c r="S118" s="82"/>
    </row>
    <row r="119" spans="1:19" s="84" customFormat="1" ht="102" x14ac:dyDescent="0.25">
      <c r="A119" s="278" t="s">
        <v>354</v>
      </c>
      <c r="B119" s="83">
        <v>44978</v>
      </c>
      <c r="C119" s="83">
        <v>44985</v>
      </c>
      <c r="D119" s="82" t="s">
        <v>264</v>
      </c>
      <c r="E119" s="85" t="s">
        <v>366</v>
      </c>
      <c r="F119" s="82" t="s">
        <v>192</v>
      </c>
      <c r="G119" s="120" t="s">
        <v>365</v>
      </c>
      <c r="H119" s="82" t="s">
        <v>157</v>
      </c>
      <c r="I119" s="82" t="str">
        <f>CONCATENATE("Приложение"," ","№", A119, ", ","протокол испытания №2Ф-ФОМ17 от 28.02.23")</f>
        <v>Приложение №84-ГРС.АС, протокол испытания №2Ф-ФОМ17 от 28.02.23</v>
      </c>
      <c r="J119" s="107" t="s">
        <v>182</v>
      </c>
      <c r="K119" s="155" t="s">
        <v>196</v>
      </c>
      <c r="L119" s="125"/>
      <c r="M119" s="83"/>
      <c r="N119" s="82"/>
      <c r="O119" s="82"/>
      <c r="P119" s="82"/>
      <c r="Q119" s="82"/>
      <c r="R119" s="125"/>
      <c r="S119" s="82"/>
    </row>
    <row r="120" spans="1:19" s="84" customFormat="1" ht="76.5" x14ac:dyDescent="0.25">
      <c r="A120" s="163" t="s">
        <v>355</v>
      </c>
      <c r="B120" s="127">
        <v>44978</v>
      </c>
      <c r="C120" s="127">
        <v>44985</v>
      </c>
      <c r="D120" s="122" t="s">
        <v>191</v>
      </c>
      <c r="E120" s="164" t="s">
        <v>360</v>
      </c>
      <c r="F120" s="122" t="s">
        <v>192</v>
      </c>
      <c r="G120" s="165" t="s">
        <v>363</v>
      </c>
      <c r="H120" s="122" t="s">
        <v>215</v>
      </c>
      <c r="I120" s="122" t="str">
        <f>CONCATENATE("Приложение"," ","№", A120, ", ","протокол испытания №1Ф-ФМ9 от 28.02.23г.")</f>
        <v>Приложение №85-ГРС.АС, протокол испытания №1Ф-ФМ9 от 28.02.23г.</v>
      </c>
      <c r="J120" s="161" t="s">
        <v>182</v>
      </c>
      <c r="K120" s="107" t="s">
        <v>195</v>
      </c>
      <c r="L120" s="135"/>
      <c r="M120" s="127"/>
      <c r="N120" s="122"/>
      <c r="O120" s="122"/>
      <c r="P120" s="122"/>
      <c r="Q120" s="122"/>
      <c r="R120" s="82"/>
      <c r="S120" s="82"/>
    </row>
    <row r="121" spans="1:19" s="84" customFormat="1" ht="76.5" x14ac:dyDescent="0.25">
      <c r="A121" s="279" t="s">
        <v>356</v>
      </c>
      <c r="B121" s="95">
        <v>44978</v>
      </c>
      <c r="C121" s="95">
        <v>44985</v>
      </c>
      <c r="D121" s="276" t="s">
        <v>191</v>
      </c>
      <c r="E121" s="157" t="s">
        <v>361</v>
      </c>
      <c r="F121" s="276" t="s">
        <v>192</v>
      </c>
      <c r="G121" s="158" t="s">
        <v>363</v>
      </c>
      <c r="H121" s="276" t="s">
        <v>215</v>
      </c>
      <c r="I121" s="276" t="str">
        <f>CONCATENATE("Приложение"," ","№", A121, ", ","протокол испытания №1Ф-ФМ10 от 28.02.23г.")</f>
        <v>Приложение №86-ГРС.АС, протокол испытания №1Ф-ФМ10 от 28.02.23г.</v>
      </c>
      <c r="J121" s="162" t="s">
        <v>182</v>
      </c>
      <c r="K121" s="107" t="s">
        <v>195</v>
      </c>
      <c r="L121" s="135"/>
      <c r="M121" s="83"/>
      <c r="N121" s="82"/>
      <c r="O121" s="82"/>
      <c r="P121" s="82"/>
      <c r="Q121" s="82"/>
      <c r="R121" s="82"/>
      <c r="S121" s="82"/>
    </row>
    <row r="122" spans="1:19" s="84" customFormat="1" ht="58.15" customHeight="1" x14ac:dyDescent="0.25">
      <c r="A122" s="279" t="s">
        <v>409</v>
      </c>
      <c r="B122" s="95">
        <v>44984</v>
      </c>
      <c r="C122" s="95">
        <v>44985</v>
      </c>
      <c r="D122" s="276" t="s">
        <v>410</v>
      </c>
      <c r="E122" s="157" t="s">
        <v>678</v>
      </c>
      <c r="F122" s="276" t="s">
        <v>411</v>
      </c>
      <c r="G122" s="276" t="s">
        <v>378</v>
      </c>
      <c r="H122" s="276" t="s">
        <v>415</v>
      </c>
      <c r="I122" s="276" t="str">
        <f>CONCATENATE("Приложение"," ","№", A122,", ","протокол уплотнения №Ф11/ГРС")</f>
        <v>Приложение №87-ГРС.АС, протокол уплотнения №Ф11/ГРС</v>
      </c>
      <c r="J122" s="162" t="s">
        <v>182</v>
      </c>
      <c r="K122" s="155" t="s">
        <v>195</v>
      </c>
      <c r="L122" s="135"/>
      <c r="M122" s="83"/>
      <c r="N122" s="82"/>
      <c r="O122" s="82"/>
      <c r="P122" s="82"/>
      <c r="Q122" s="82"/>
      <c r="R122" s="82"/>
      <c r="S122" s="82"/>
    </row>
    <row r="123" spans="1:19" s="84" customFormat="1" ht="48.6" customHeight="1" x14ac:dyDescent="0.25">
      <c r="A123" s="146" t="s">
        <v>1107</v>
      </c>
      <c r="B123" s="83">
        <v>44984</v>
      </c>
      <c r="C123" s="83">
        <v>44984</v>
      </c>
      <c r="D123" s="82" t="s">
        <v>1108</v>
      </c>
      <c r="E123" s="85" t="s">
        <v>1109</v>
      </c>
      <c r="F123" s="82" t="s">
        <v>411</v>
      </c>
      <c r="G123" s="82" t="s">
        <v>378</v>
      </c>
      <c r="H123" s="82" t="s">
        <v>415</v>
      </c>
      <c r="I123" s="82" t="s">
        <v>1110</v>
      </c>
      <c r="J123" s="107" t="s">
        <v>182</v>
      </c>
      <c r="K123" s="155"/>
      <c r="L123" s="135"/>
      <c r="M123" s="83"/>
      <c r="N123" s="82"/>
      <c r="O123" s="82"/>
      <c r="P123" s="82"/>
      <c r="Q123" s="82"/>
      <c r="R123" s="82"/>
      <c r="S123" s="82"/>
    </row>
    <row r="124" spans="1:19" s="84" customFormat="1" ht="68.25" customHeight="1" x14ac:dyDescent="0.25">
      <c r="A124" s="91" t="s">
        <v>412</v>
      </c>
      <c r="B124" s="109">
        <v>44984</v>
      </c>
      <c r="C124" s="109">
        <v>44985</v>
      </c>
      <c r="D124" s="91" t="s">
        <v>410</v>
      </c>
      <c r="E124" s="190" t="s">
        <v>668</v>
      </c>
      <c r="F124" s="91" t="s">
        <v>411</v>
      </c>
      <c r="G124" s="91" t="s">
        <v>378</v>
      </c>
      <c r="H124" s="91" t="s">
        <v>417</v>
      </c>
      <c r="I124" s="91" t="str">
        <f>CONCATENATE("Приложение"," ","№", A124,", ","протоколы уплотнения №ФМ1/ГРС, №ФМ3/ГРС")</f>
        <v>Приложение №88-ГРС.АС, протоколы уплотнения №ФМ1/ГРС, №ФМ3/ГРС</v>
      </c>
      <c r="J124" s="170" t="s">
        <v>182</v>
      </c>
      <c r="K124" s="107" t="s">
        <v>195</v>
      </c>
      <c r="L124" s="135"/>
      <c r="M124" s="83"/>
      <c r="N124" s="82"/>
      <c r="O124" s="82"/>
      <c r="P124" s="82"/>
      <c r="Q124" s="82"/>
      <c r="R124" s="82"/>
      <c r="S124" s="82"/>
    </row>
    <row r="125" spans="1:19" s="84" customFormat="1" ht="48" x14ac:dyDescent="0.25">
      <c r="A125" s="82" t="s">
        <v>492</v>
      </c>
      <c r="B125" s="83">
        <v>44984</v>
      </c>
      <c r="C125" s="83">
        <v>44985</v>
      </c>
      <c r="D125" s="82" t="s">
        <v>410</v>
      </c>
      <c r="E125" s="85" t="s">
        <v>566</v>
      </c>
      <c r="F125" s="82" t="s">
        <v>411</v>
      </c>
      <c r="G125" s="82" t="s">
        <v>378</v>
      </c>
      <c r="H125" s="82" t="s">
        <v>417</v>
      </c>
      <c r="I125" s="82" t="str">
        <f t="shared" ref="I125:I130" si="7">CONCATENATE("Приложение"," ","№", A125,)</f>
        <v>Приложение №88.1-ГРС.АС</v>
      </c>
      <c r="J125" s="107" t="s">
        <v>182</v>
      </c>
      <c r="K125" s="155"/>
      <c r="L125" s="135"/>
      <c r="M125" s="83"/>
      <c r="N125" s="82"/>
      <c r="O125" s="82"/>
      <c r="P125" s="82"/>
      <c r="Q125" s="82"/>
      <c r="R125" s="82"/>
      <c r="S125" s="82"/>
    </row>
    <row r="126" spans="1:19" s="84" customFormat="1" ht="51" x14ac:dyDescent="0.25">
      <c r="A126" s="163" t="s">
        <v>413</v>
      </c>
      <c r="B126" s="127">
        <v>44985</v>
      </c>
      <c r="C126" s="127">
        <v>44985</v>
      </c>
      <c r="D126" s="122" t="s">
        <v>170</v>
      </c>
      <c r="E126" s="164" t="s">
        <v>414</v>
      </c>
      <c r="F126" s="122" t="s">
        <v>411</v>
      </c>
      <c r="G126" s="165" t="s">
        <v>222</v>
      </c>
      <c r="H126" s="122" t="s">
        <v>415</v>
      </c>
      <c r="I126" s="122" t="str">
        <f t="shared" si="7"/>
        <v>Приложение №89-ГРС.АС</v>
      </c>
      <c r="J126" s="161" t="s">
        <v>182</v>
      </c>
      <c r="K126" s="107" t="s">
        <v>195</v>
      </c>
      <c r="L126" s="135"/>
      <c r="M126" s="83"/>
      <c r="N126" s="82"/>
      <c r="O126" s="82"/>
      <c r="P126" s="82"/>
      <c r="Q126" s="82"/>
      <c r="R126" s="82"/>
      <c r="S126" s="82"/>
    </row>
    <row r="127" spans="1:19" s="84" customFormat="1" ht="60" x14ac:dyDescent="0.25">
      <c r="A127" s="146" t="s">
        <v>416</v>
      </c>
      <c r="B127" s="83">
        <v>44985</v>
      </c>
      <c r="C127" s="83">
        <v>44985</v>
      </c>
      <c r="D127" s="82" t="s">
        <v>170</v>
      </c>
      <c r="E127" s="85" t="s">
        <v>627</v>
      </c>
      <c r="F127" s="82" t="s">
        <v>535</v>
      </c>
      <c r="G127" s="120" t="s">
        <v>222</v>
      </c>
      <c r="H127" s="82" t="s">
        <v>417</v>
      </c>
      <c r="I127" s="82" t="str">
        <f t="shared" si="7"/>
        <v>Приложение №90-ГРС.АС</v>
      </c>
      <c r="J127" s="107" t="s">
        <v>182</v>
      </c>
      <c r="K127" s="107" t="s">
        <v>195</v>
      </c>
      <c r="L127" s="135"/>
      <c r="M127" s="83"/>
      <c r="N127" s="82"/>
      <c r="O127" s="82"/>
      <c r="P127" s="82"/>
      <c r="Q127" s="82"/>
      <c r="R127" s="82"/>
      <c r="S127" s="82"/>
    </row>
    <row r="128" spans="1:19" s="84" customFormat="1" ht="51" x14ac:dyDescent="0.25">
      <c r="A128" s="82" t="s">
        <v>567</v>
      </c>
      <c r="B128" s="83">
        <v>44985</v>
      </c>
      <c r="C128" s="83">
        <v>44985</v>
      </c>
      <c r="D128" s="82" t="s">
        <v>170</v>
      </c>
      <c r="E128" s="85" t="s">
        <v>568</v>
      </c>
      <c r="F128" s="82" t="s">
        <v>411</v>
      </c>
      <c r="G128" s="120" t="s">
        <v>222</v>
      </c>
      <c r="H128" s="82" t="s">
        <v>417</v>
      </c>
      <c r="I128" s="82" t="str">
        <f t="shared" si="7"/>
        <v>Приложение №91.1-ГРС.АС</v>
      </c>
      <c r="J128" s="107" t="s">
        <v>182</v>
      </c>
      <c r="K128" s="107"/>
      <c r="L128" s="135"/>
      <c r="M128" s="83"/>
      <c r="N128" s="82"/>
      <c r="O128" s="82"/>
      <c r="P128" s="82"/>
      <c r="Q128" s="82"/>
      <c r="R128" s="82"/>
      <c r="S128" s="82"/>
    </row>
    <row r="129" spans="1:19" s="124" customFormat="1" ht="78.75" x14ac:dyDescent="0.25">
      <c r="A129" s="278" t="s">
        <v>541</v>
      </c>
      <c r="B129" s="83">
        <v>44986</v>
      </c>
      <c r="C129" s="83">
        <v>44986</v>
      </c>
      <c r="D129" s="82" t="s">
        <v>171</v>
      </c>
      <c r="E129" s="85" t="s">
        <v>542</v>
      </c>
      <c r="F129" s="82" t="s">
        <v>369</v>
      </c>
      <c r="G129" s="131" t="s">
        <v>358</v>
      </c>
      <c r="H129" s="82" t="s">
        <v>216</v>
      </c>
      <c r="I129" s="82" t="str">
        <f t="shared" si="7"/>
        <v>Приложение №90.1-ГРС.АС</v>
      </c>
      <c r="J129" s="107" t="s">
        <v>182</v>
      </c>
      <c r="K129" s="107" t="s">
        <v>196</v>
      </c>
      <c r="L129" s="135"/>
      <c r="M129" s="83"/>
      <c r="N129" s="82"/>
      <c r="O129" s="82"/>
      <c r="P129" s="82"/>
      <c r="Q129" s="82"/>
      <c r="R129" s="82"/>
      <c r="S129" s="82"/>
    </row>
    <row r="130" spans="1:19" s="84" customFormat="1" ht="78.75" x14ac:dyDescent="0.25">
      <c r="A130" s="278" t="s">
        <v>543</v>
      </c>
      <c r="B130" s="83">
        <v>44986</v>
      </c>
      <c r="C130" s="83">
        <v>44986</v>
      </c>
      <c r="D130" s="82" t="s">
        <v>171</v>
      </c>
      <c r="E130" s="85" t="s">
        <v>544</v>
      </c>
      <c r="F130" s="82" t="s">
        <v>369</v>
      </c>
      <c r="G130" s="131" t="s">
        <v>358</v>
      </c>
      <c r="H130" s="82" t="s">
        <v>208</v>
      </c>
      <c r="I130" s="82" t="str">
        <f t="shared" si="7"/>
        <v>Приложение №90.2-ГРС.АС</v>
      </c>
      <c r="J130" s="107" t="s">
        <v>182</v>
      </c>
      <c r="K130" s="107" t="s">
        <v>196</v>
      </c>
      <c r="L130" s="135"/>
      <c r="M130" s="127"/>
      <c r="N130" s="122"/>
      <c r="O130" s="122"/>
      <c r="P130" s="122"/>
      <c r="Q130" s="122"/>
      <c r="R130" s="122"/>
      <c r="S130" s="122"/>
    </row>
    <row r="131" spans="1:19" s="84" customFormat="1" ht="102" x14ac:dyDescent="0.25">
      <c r="A131" s="278" t="s">
        <v>418</v>
      </c>
      <c r="B131" s="83">
        <v>44982</v>
      </c>
      <c r="C131" s="83">
        <v>44989</v>
      </c>
      <c r="D131" s="82" t="s">
        <v>191</v>
      </c>
      <c r="E131" s="85" t="s">
        <v>476</v>
      </c>
      <c r="F131" s="82" t="s">
        <v>192</v>
      </c>
      <c r="G131" s="120" t="s">
        <v>419</v>
      </c>
      <c r="H131" s="82" t="s">
        <v>207</v>
      </c>
      <c r="I131" s="82" t="str">
        <f>CONCATENATE("Приложение"," ","№", A131, ", ","протокол испытания №1Ф-ФОМ1 от 04.03.23г.")</f>
        <v>Приложение №91-ГРС.АС, протокол испытания №1Ф-ФОМ1 от 04.03.23г.</v>
      </c>
      <c r="J131" s="107" t="s">
        <v>182</v>
      </c>
      <c r="K131" s="107" t="s">
        <v>195</v>
      </c>
      <c r="L131" s="135"/>
      <c r="M131" s="127"/>
      <c r="N131" s="122"/>
      <c r="O131" s="122"/>
      <c r="P131" s="122"/>
      <c r="Q131" s="122"/>
      <c r="R131" s="122"/>
      <c r="S131" s="122"/>
    </row>
    <row r="132" spans="1:19" s="84" customFormat="1" ht="102" x14ac:dyDescent="0.25">
      <c r="A132" s="278" t="s">
        <v>420</v>
      </c>
      <c r="B132" s="83">
        <v>44982</v>
      </c>
      <c r="C132" s="83">
        <v>44989</v>
      </c>
      <c r="D132" s="82" t="s">
        <v>191</v>
      </c>
      <c r="E132" s="85" t="s">
        <v>421</v>
      </c>
      <c r="F132" s="82" t="s">
        <v>192</v>
      </c>
      <c r="G132" s="120" t="s">
        <v>419</v>
      </c>
      <c r="H132" s="82" t="s">
        <v>217</v>
      </c>
      <c r="I132" s="82" t="str">
        <f>CONCATENATE("Приложение"," ","№", A132, ", ","протокол испытания 1Ф-ФОМ3 от 04.03.2023")</f>
        <v>Приложение №92-ГРС.АС, протокол испытания 1Ф-ФОМ3 от 04.03.2023</v>
      </c>
      <c r="J132" s="107" t="s">
        <v>182</v>
      </c>
      <c r="K132" s="107" t="s">
        <v>195</v>
      </c>
      <c r="L132" s="135"/>
      <c r="M132" s="83"/>
      <c r="N132" s="82"/>
      <c r="O132" s="82"/>
      <c r="P132" s="82"/>
      <c r="Q132" s="82"/>
      <c r="R132" s="82"/>
      <c r="S132" s="82"/>
    </row>
    <row r="133" spans="1:19" s="84" customFormat="1" ht="102" x14ac:dyDescent="0.25">
      <c r="A133" s="278" t="s">
        <v>422</v>
      </c>
      <c r="B133" s="83">
        <v>44982</v>
      </c>
      <c r="C133" s="83">
        <v>44989</v>
      </c>
      <c r="D133" s="82" t="s">
        <v>191</v>
      </c>
      <c r="E133" s="85" t="s">
        <v>423</v>
      </c>
      <c r="F133" s="82" t="s">
        <v>192</v>
      </c>
      <c r="G133" s="137" t="s">
        <v>424</v>
      </c>
      <c r="H133" s="82" t="s">
        <v>217</v>
      </c>
      <c r="I133" s="82" t="str">
        <f>CONCATENATE("Приложение"," ","№", A133, ", ","протокол испытания 1Ф-ФОМ4 от 04.03.2023")</f>
        <v>Приложение №93-ГРС.АС, протокол испытания 1Ф-ФОМ4 от 04.03.2023</v>
      </c>
      <c r="J133" s="107" t="s">
        <v>182</v>
      </c>
      <c r="K133" s="107" t="s">
        <v>195</v>
      </c>
      <c r="L133" s="135"/>
      <c r="M133" s="83"/>
      <c r="N133" s="82"/>
      <c r="O133" s="82"/>
      <c r="P133" s="82"/>
      <c r="Q133" s="82"/>
      <c r="R133" s="82"/>
      <c r="S133" s="82"/>
    </row>
    <row r="134" spans="1:19" s="84" customFormat="1" ht="102" x14ac:dyDescent="0.25">
      <c r="A134" s="278" t="s">
        <v>425</v>
      </c>
      <c r="B134" s="83">
        <v>44982</v>
      </c>
      <c r="C134" s="83">
        <v>44989</v>
      </c>
      <c r="D134" s="82" t="s">
        <v>191</v>
      </c>
      <c r="E134" s="148" t="s">
        <v>426</v>
      </c>
      <c r="F134" s="82" t="s">
        <v>192</v>
      </c>
      <c r="G134" s="137" t="s">
        <v>424</v>
      </c>
      <c r="H134" s="82" t="s">
        <v>208</v>
      </c>
      <c r="I134" s="82" t="str">
        <f>CONCATENATE("Приложение"," ","№", A134, ", ","протокол испытания 1Ф-ФОМ8 от 04.03.2023")</f>
        <v>Приложение №94-ГРС.АС, протокол испытания 1Ф-ФОМ8 от 04.03.2023</v>
      </c>
      <c r="J134" s="107" t="s">
        <v>182</v>
      </c>
      <c r="K134" s="107" t="s">
        <v>195</v>
      </c>
      <c r="L134" s="135"/>
      <c r="M134" s="83"/>
      <c r="N134" s="82"/>
      <c r="O134" s="82"/>
      <c r="P134" s="82"/>
      <c r="Q134" s="82"/>
      <c r="R134" s="82"/>
      <c r="S134" s="82"/>
    </row>
    <row r="135" spans="1:19" s="84" customFormat="1" ht="102" x14ac:dyDescent="0.25">
      <c r="A135" s="278" t="s">
        <v>427</v>
      </c>
      <c r="B135" s="83">
        <v>44982</v>
      </c>
      <c r="C135" s="83">
        <v>44989</v>
      </c>
      <c r="D135" s="82" t="s">
        <v>191</v>
      </c>
      <c r="E135" s="148" t="s">
        <v>428</v>
      </c>
      <c r="F135" s="82" t="s">
        <v>192</v>
      </c>
      <c r="G135" s="137" t="s">
        <v>424</v>
      </c>
      <c r="H135" s="82" t="s">
        <v>164</v>
      </c>
      <c r="I135" s="82" t="str">
        <f>CONCATENATE("Приложение"," ","№", A135, ", ","протокол испытания 1Ф-ФОМ9 от 04.03.2023")</f>
        <v>Приложение №95-ГРС.АС, протокол испытания 1Ф-ФОМ9 от 04.03.2023</v>
      </c>
      <c r="J135" s="107" t="s">
        <v>182</v>
      </c>
      <c r="K135" s="107" t="s">
        <v>195</v>
      </c>
      <c r="L135" s="135"/>
      <c r="M135" s="83"/>
      <c r="N135" s="82"/>
      <c r="O135" s="82"/>
      <c r="P135" s="82"/>
      <c r="Q135" s="82"/>
      <c r="R135" s="82"/>
      <c r="S135" s="82"/>
    </row>
    <row r="136" spans="1:19" s="84" customFormat="1" ht="63.75" customHeight="1" x14ac:dyDescent="0.25">
      <c r="A136" s="82" t="s">
        <v>429</v>
      </c>
      <c r="B136" s="83">
        <v>44985</v>
      </c>
      <c r="C136" s="83">
        <v>44992</v>
      </c>
      <c r="D136" s="82" t="s">
        <v>430</v>
      </c>
      <c r="E136" s="85" t="s">
        <v>431</v>
      </c>
      <c r="F136" s="82" t="s">
        <v>171</v>
      </c>
      <c r="G136" s="82" t="s">
        <v>432</v>
      </c>
      <c r="H136" s="82" t="s">
        <v>417</v>
      </c>
      <c r="I136" s="82" t="str">
        <f>CONCATENATE("Приложение"," ","№", A136, ", ","протокол испытания №1П-Фм1 от 07.03.23")</f>
        <v>Приложение №96-ГРС.АС, протокол испытания №1П-Фм1 от 07.03.23</v>
      </c>
      <c r="J136" s="107" t="s">
        <v>182</v>
      </c>
      <c r="K136" s="107" t="s">
        <v>195</v>
      </c>
      <c r="L136" s="135"/>
      <c r="M136" s="83"/>
      <c r="N136" s="82"/>
      <c r="O136" s="82"/>
      <c r="P136" s="82"/>
      <c r="Q136" s="82"/>
      <c r="R136" s="82"/>
      <c r="S136" s="82"/>
    </row>
    <row r="137" spans="1:19" s="84" customFormat="1" ht="71.25" customHeight="1" x14ac:dyDescent="0.25">
      <c r="A137" s="82" t="s">
        <v>569</v>
      </c>
      <c r="B137" s="83">
        <v>44985</v>
      </c>
      <c r="C137" s="83">
        <v>44992</v>
      </c>
      <c r="D137" s="82" t="s">
        <v>430</v>
      </c>
      <c r="E137" s="85" t="s">
        <v>570</v>
      </c>
      <c r="F137" s="82" t="s">
        <v>171</v>
      </c>
      <c r="G137" s="82" t="s">
        <v>432</v>
      </c>
      <c r="H137" s="82" t="s">
        <v>417</v>
      </c>
      <c r="I137" s="82" t="str">
        <f>CONCATENATE("Приложение"," ","№", A137,", ",  "протокол испытания 1Ф-ФМ2 от 07.03.2023г")</f>
        <v>Приложение №96.1-ГРС.АС, протокол испытания 1Ф-ФМ2 от 07.03.2023г</v>
      </c>
      <c r="J137" s="107" t="s">
        <v>182</v>
      </c>
      <c r="K137" s="107"/>
      <c r="L137" s="135"/>
      <c r="M137" s="83"/>
      <c r="N137" s="82"/>
      <c r="O137" s="82"/>
      <c r="P137" s="82"/>
      <c r="Q137" s="82"/>
      <c r="R137" s="82"/>
      <c r="S137" s="82"/>
    </row>
    <row r="138" spans="1:19" s="84" customFormat="1" ht="66" customHeight="1" x14ac:dyDescent="0.25">
      <c r="A138" s="121" t="s">
        <v>433</v>
      </c>
      <c r="B138" s="83">
        <v>44985</v>
      </c>
      <c r="C138" s="83">
        <v>44992</v>
      </c>
      <c r="D138" s="82" t="s">
        <v>155</v>
      </c>
      <c r="E138" s="85" t="s">
        <v>434</v>
      </c>
      <c r="F138" s="82" t="s">
        <v>171</v>
      </c>
      <c r="G138" s="82" t="s">
        <v>432</v>
      </c>
      <c r="H138" s="82" t="s">
        <v>417</v>
      </c>
      <c r="I138" s="82" t="str">
        <f>CONCATENATE("Приложение"," ","№", A138, ", ","протокол испытания №1П-Фм3 от 07.03.23")</f>
        <v>Приложение №97-ГРС.АС, протокол испытания №1П-Фм3 от 07.03.23</v>
      </c>
      <c r="J138" s="107" t="s">
        <v>182</v>
      </c>
      <c r="K138" s="107" t="s">
        <v>195</v>
      </c>
      <c r="L138" s="135"/>
      <c r="M138" s="83"/>
      <c r="N138" s="82"/>
      <c r="O138" s="82"/>
      <c r="P138" s="82"/>
      <c r="Q138" s="82"/>
      <c r="R138" s="82"/>
      <c r="S138" s="82"/>
    </row>
    <row r="139" spans="1:19" s="84" customFormat="1" ht="61.5" customHeight="1" x14ac:dyDescent="0.25">
      <c r="A139" s="130" t="s">
        <v>435</v>
      </c>
      <c r="B139" s="83">
        <v>44985</v>
      </c>
      <c r="C139" s="83">
        <v>44992</v>
      </c>
      <c r="D139" s="82" t="s">
        <v>155</v>
      </c>
      <c r="E139" s="85" t="s">
        <v>436</v>
      </c>
      <c r="F139" s="82" t="s">
        <v>171</v>
      </c>
      <c r="G139" s="82" t="s">
        <v>432</v>
      </c>
      <c r="H139" s="82" t="s">
        <v>415</v>
      </c>
      <c r="I139" s="82" t="str">
        <f>CONCATENATE("Приложение"," ","№", A139, ", ","протокол испытания №1П-ФОМ11 от 07.03.23")</f>
        <v>Приложение №98-ГРС.АС, протокол испытания №1П-ФОМ11 от 07.03.23</v>
      </c>
      <c r="J139" s="107" t="s">
        <v>182</v>
      </c>
      <c r="K139" s="107" t="s">
        <v>195</v>
      </c>
      <c r="L139" s="135"/>
      <c r="M139" s="83"/>
      <c r="N139" s="82"/>
      <c r="O139" s="82"/>
      <c r="P139" s="82"/>
      <c r="Q139" s="82"/>
      <c r="R139" s="82"/>
      <c r="S139" s="82"/>
    </row>
    <row r="140" spans="1:19" s="84" customFormat="1" ht="90" x14ac:dyDescent="0.25">
      <c r="A140" s="214" t="s">
        <v>437</v>
      </c>
      <c r="B140" s="83">
        <v>44986</v>
      </c>
      <c r="C140" s="83">
        <v>44993</v>
      </c>
      <c r="D140" s="82" t="s">
        <v>191</v>
      </c>
      <c r="E140" s="85" t="s">
        <v>438</v>
      </c>
      <c r="F140" s="82" t="s">
        <v>192</v>
      </c>
      <c r="G140" s="82" t="s">
        <v>439</v>
      </c>
      <c r="H140" s="82" t="s">
        <v>265</v>
      </c>
      <c r="I140" s="82" t="str">
        <f>CONCATENATE("Приложение"," ","№", A140, ", ","протокол испытания №1Ф-ФмМ1 от 08.03.23")</f>
        <v>Приложение №99-ГРС.АС, протокол испытания №1Ф-ФмМ1 от 08.03.23</v>
      </c>
      <c r="J140" s="107" t="s">
        <v>182</v>
      </c>
      <c r="K140" s="107" t="s">
        <v>195</v>
      </c>
      <c r="L140" s="135"/>
      <c r="M140" s="83"/>
      <c r="N140" s="82"/>
      <c r="O140" s="82"/>
      <c r="P140" s="82"/>
      <c r="Q140" s="82"/>
      <c r="R140" s="82"/>
      <c r="S140" s="82"/>
    </row>
    <row r="141" spans="1:19" s="84" customFormat="1" ht="102" x14ac:dyDescent="0.25">
      <c r="A141" s="130" t="s">
        <v>440</v>
      </c>
      <c r="B141" s="83">
        <v>44986</v>
      </c>
      <c r="C141" s="83">
        <v>44993</v>
      </c>
      <c r="D141" s="82" t="s">
        <v>191</v>
      </c>
      <c r="E141" s="85" t="s">
        <v>441</v>
      </c>
      <c r="F141" s="82" t="s">
        <v>192</v>
      </c>
      <c r="G141" s="137" t="s">
        <v>442</v>
      </c>
      <c r="H141" s="82" t="s">
        <v>216</v>
      </c>
      <c r="I141" s="82" t="str">
        <f>CONCATENATE("Приложение"," ","№", A141, ", ","протокол испытания №1Ф-ФОМ2 от 08.03.23")</f>
        <v>Приложение №100-ГРС.АС, протокол испытания №1Ф-ФОМ2 от 08.03.23</v>
      </c>
      <c r="J141" s="107" t="s">
        <v>182</v>
      </c>
      <c r="K141" s="107" t="s">
        <v>195</v>
      </c>
      <c r="L141" s="135"/>
      <c r="M141" s="83"/>
      <c r="N141" s="82"/>
      <c r="O141" s="82"/>
      <c r="P141" s="82"/>
      <c r="Q141" s="82"/>
      <c r="R141" s="82"/>
      <c r="S141" s="82"/>
    </row>
    <row r="142" spans="1:19" s="84" customFormat="1" ht="102" x14ac:dyDescent="0.25">
      <c r="A142" s="130" t="s">
        <v>443</v>
      </c>
      <c r="B142" s="83">
        <v>44982</v>
      </c>
      <c r="C142" s="83">
        <v>44989</v>
      </c>
      <c r="D142" s="82" t="s">
        <v>191</v>
      </c>
      <c r="E142" s="85" t="s">
        <v>444</v>
      </c>
      <c r="F142" s="82" t="s">
        <v>192</v>
      </c>
      <c r="G142" s="137" t="s">
        <v>445</v>
      </c>
      <c r="H142" s="121" t="s">
        <v>217</v>
      </c>
      <c r="I142" s="82" t="str">
        <f>CONCATENATE("Приложение"," ","№", A142, ", ","протокол испытания №1Ф-ФОМ4 от 04.03.23")</f>
        <v>Приложение №101-ГРС.АС, протокол испытания №1Ф-ФОМ4 от 04.03.23</v>
      </c>
      <c r="J142" s="107" t="s">
        <v>182</v>
      </c>
      <c r="K142" s="107" t="s">
        <v>195</v>
      </c>
      <c r="L142" s="135" t="s">
        <v>443</v>
      </c>
      <c r="M142" s="83">
        <v>44986</v>
      </c>
      <c r="N142" s="82" t="s">
        <v>574</v>
      </c>
      <c r="O142" s="82">
        <v>3.65</v>
      </c>
      <c r="P142" s="82"/>
      <c r="Q142" s="82" t="s">
        <v>575</v>
      </c>
      <c r="R142" s="82" t="str">
        <f>H142</f>
        <v>72-01-7353/500-13-63/313-1-ГРС.АС, лист 6</v>
      </c>
      <c r="S142" s="82"/>
    </row>
    <row r="143" spans="1:19" s="84" customFormat="1" ht="102" x14ac:dyDescent="0.25">
      <c r="A143" s="130" t="s">
        <v>446</v>
      </c>
      <c r="B143" s="83">
        <v>44986</v>
      </c>
      <c r="C143" s="83">
        <v>44993</v>
      </c>
      <c r="D143" s="82" t="s">
        <v>191</v>
      </c>
      <c r="E143" s="85" t="s">
        <v>447</v>
      </c>
      <c r="F143" s="82" t="s">
        <v>192</v>
      </c>
      <c r="G143" s="137" t="s">
        <v>442</v>
      </c>
      <c r="H143" s="121" t="s">
        <v>208</v>
      </c>
      <c r="I143" s="82" t="str">
        <f>CONCATENATE("Приложение"," ","№", A143, ", ","протокол испытания №1Ф-ФОМ5 от 08.03.23")</f>
        <v>Приложение №102-ГРС.АС, протокол испытания №1Ф-ФОМ5 от 08.03.23</v>
      </c>
      <c r="J143" s="107" t="s">
        <v>182</v>
      </c>
      <c r="K143" s="107" t="s">
        <v>195</v>
      </c>
      <c r="L143" s="135"/>
      <c r="M143" s="83"/>
      <c r="N143" s="82"/>
      <c r="O143" s="82"/>
      <c r="P143" s="82"/>
      <c r="Q143" s="82"/>
      <c r="R143" s="82"/>
      <c r="S143" s="82"/>
    </row>
    <row r="144" spans="1:19" s="84" customFormat="1" ht="102" x14ac:dyDescent="0.25">
      <c r="A144" s="130" t="s">
        <v>448</v>
      </c>
      <c r="B144" s="83">
        <v>44986</v>
      </c>
      <c r="C144" s="83">
        <v>44993</v>
      </c>
      <c r="D144" s="82" t="s">
        <v>191</v>
      </c>
      <c r="E144" s="85" t="s">
        <v>449</v>
      </c>
      <c r="F144" s="82" t="s">
        <v>192</v>
      </c>
      <c r="G144" s="137" t="s">
        <v>442</v>
      </c>
      <c r="H144" s="121" t="s">
        <v>180</v>
      </c>
      <c r="I144" s="82" t="str">
        <f>CONCATENATE("Приложение"," ","№", A144, ", ","протокол испытания №1Ф-ФОМ18 от 08.03.23")</f>
        <v>Приложение №103-ГРС.АС, протокол испытания №1Ф-ФОМ18 от 08.03.23</v>
      </c>
      <c r="J144" s="107" t="s">
        <v>182</v>
      </c>
      <c r="K144" s="107" t="s">
        <v>195</v>
      </c>
      <c r="L144" s="135"/>
      <c r="M144" s="83"/>
      <c r="N144" s="82"/>
      <c r="O144" s="82"/>
      <c r="P144" s="82"/>
      <c r="Q144" s="82"/>
      <c r="R144" s="82"/>
      <c r="S144" s="82"/>
    </row>
    <row r="145" spans="1:19" s="124" customFormat="1" ht="102" x14ac:dyDescent="0.25">
      <c r="A145" s="130" t="s">
        <v>450</v>
      </c>
      <c r="B145" s="83">
        <v>44986</v>
      </c>
      <c r="C145" s="83">
        <v>44993</v>
      </c>
      <c r="D145" s="82" t="s">
        <v>191</v>
      </c>
      <c r="E145" s="85" t="s">
        <v>451</v>
      </c>
      <c r="F145" s="82" t="s">
        <v>192</v>
      </c>
      <c r="G145" s="137" t="s">
        <v>442</v>
      </c>
      <c r="H145" s="121" t="s">
        <v>180</v>
      </c>
      <c r="I145" s="121" t="str">
        <f>CONCATENATE("Приложение"," ","№", A145, ", ","протокол испытания №1Ф-ФОМ19 от 08.03.23")</f>
        <v>Приложение №104-ГРС.АС, протокол испытания №1Ф-ФОМ19 от 08.03.23</v>
      </c>
      <c r="J145" s="107" t="s">
        <v>182</v>
      </c>
      <c r="K145" s="107" t="s">
        <v>195</v>
      </c>
      <c r="L145" s="135"/>
      <c r="M145" s="83"/>
      <c r="N145" s="82"/>
      <c r="O145" s="82"/>
      <c r="P145" s="82"/>
      <c r="Q145" s="82"/>
      <c r="R145" s="82"/>
      <c r="S145" s="82"/>
    </row>
    <row r="146" spans="1:19" s="84" customFormat="1" ht="102" x14ac:dyDescent="0.25">
      <c r="A146" s="130" t="s">
        <v>452</v>
      </c>
      <c r="B146" s="83">
        <v>44986</v>
      </c>
      <c r="C146" s="83">
        <v>44993</v>
      </c>
      <c r="D146" s="82" t="s">
        <v>191</v>
      </c>
      <c r="E146" s="85" t="s">
        <v>453</v>
      </c>
      <c r="F146" s="82" t="s">
        <v>192</v>
      </c>
      <c r="G146" s="137" t="s">
        <v>442</v>
      </c>
      <c r="H146" s="121" t="s">
        <v>181</v>
      </c>
      <c r="I146" s="121" t="str">
        <f>CONCATENATE("Приложение"," ","№", A146, ", ","протокол испытания №1Ф-ФОМ20 от 08.03.23")</f>
        <v>Приложение №105-ГРС.АС, протокол испытания №1Ф-ФОМ20 от 08.03.23</v>
      </c>
      <c r="J146" s="107" t="s">
        <v>182</v>
      </c>
      <c r="K146" s="107" t="s">
        <v>195</v>
      </c>
      <c r="L146" s="135"/>
      <c r="M146" s="127"/>
      <c r="N146" s="122"/>
      <c r="O146" s="122"/>
      <c r="P146" s="122"/>
      <c r="Q146" s="122"/>
      <c r="R146" s="122"/>
      <c r="S146" s="122"/>
    </row>
    <row r="147" spans="1:19" s="84" customFormat="1" ht="48" x14ac:dyDescent="0.25">
      <c r="A147" s="121" t="s">
        <v>459</v>
      </c>
      <c r="B147" s="83">
        <v>44988</v>
      </c>
      <c r="C147" s="83">
        <v>44988</v>
      </c>
      <c r="D147" s="82" t="s">
        <v>457</v>
      </c>
      <c r="E147" s="85" t="s">
        <v>458</v>
      </c>
      <c r="F147" s="82" t="s">
        <v>483</v>
      </c>
      <c r="G147" s="137" t="s">
        <v>378</v>
      </c>
      <c r="H147" s="121" t="s">
        <v>482</v>
      </c>
      <c r="I147" s="82" t="str">
        <f t="shared" ref="I147:I162" si="8">CONCATENATE("Приложение"," ","№", A147,)</f>
        <v>Приложение №1-ГРС.ЭХЗ</v>
      </c>
      <c r="J147" s="107" t="s">
        <v>182</v>
      </c>
      <c r="K147" s="107" t="s">
        <v>195</v>
      </c>
      <c r="L147" s="135"/>
      <c r="M147" s="83"/>
      <c r="N147" s="82"/>
      <c r="O147" s="82"/>
      <c r="P147" s="82"/>
      <c r="Q147" s="82"/>
      <c r="R147" s="82"/>
      <c r="S147" s="82"/>
    </row>
    <row r="148" spans="1:19" s="84" customFormat="1" ht="60" x14ac:dyDescent="0.25">
      <c r="A148" s="156" t="s">
        <v>454</v>
      </c>
      <c r="B148" s="95">
        <v>44990</v>
      </c>
      <c r="C148" s="95">
        <v>44994</v>
      </c>
      <c r="D148" s="276" t="s">
        <v>455</v>
      </c>
      <c r="E148" s="157" t="s">
        <v>625</v>
      </c>
      <c r="F148" s="276" t="s">
        <v>456</v>
      </c>
      <c r="G148" s="276" t="s">
        <v>481</v>
      </c>
      <c r="H148" s="159" t="s">
        <v>157</v>
      </c>
      <c r="I148" s="276" t="str">
        <f t="shared" si="8"/>
        <v>Приложение №106-ГРС.АС</v>
      </c>
      <c r="J148" s="162" t="s">
        <v>182</v>
      </c>
      <c r="K148" s="107" t="s">
        <v>195</v>
      </c>
      <c r="L148" s="136"/>
      <c r="M148" s="95"/>
      <c r="N148" s="276"/>
      <c r="O148" s="276"/>
      <c r="P148" s="276"/>
      <c r="Q148" s="276"/>
      <c r="R148" s="82"/>
      <c r="S148" s="82"/>
    </row>
    <row r="149" spans="1:19" s="84" customFormat="1" ht="48.6" customHeight="1" x14ac:dyDescent="0.25">
      <c r="A149" s="156" t="s">
        <v>463</v>
      </c>
      <c r="B149" s="95"/>
      <c r="C149" s="95"/>
      <c r="D149" s="276" t="s">
        <v>516</v>
      </c>
      <c r="E149" s="157" t="s">
        <v>1117</v>
      </c>
      <c r="F149" s="276" t="s">
        <v>595</v>
      </c>
      <c r="G149" s="276" t="s">
        <v>579</v>
      </c>
      <c r="H149" s="159" t="s">
        <v>417</v>
      </c>
      <c r="I149" s="112" t="str">
        <f>CONCATENATE("Приложение"," ","№", A148,", ","протокол №")</f>
        <v>Приложение №106-ГРС.АС, протокол №</v>
      </c>
      <c r="J149" s="160" t="s">
        <v>593</v>
      </c>
      <c r="K149" s="155"/>
      <c r="L149" s="136"/>
      <c r="M149" s="95"/>
      <c r="N149" s="276"/>
      <c r="O149" s="276"/>
      <c r="P149" s="276"/>
      <c r="Q149" s="276"/>
      <c r="R149" s="125"/>
      <c r="S149" s="82"/>
    </row>
    <row r="150" spans="1:19" s="84" customFormat="1" ht="48.6" customHeight="1" x14ac:dyDescent="0.25">
      <c r="A150" s="256" t="s">
        <v>463</v>
      </c>
      <c r="B150" s="83">
        <v>44977</v>
      </c>
      <c r="C150" s="83">
        <v>44977</v>
      </c>
      <c r="D150" s="82" t="s">
        <v>1121</v>
      </c>
      <c r="E150" s="85" t="s">
        <v>1122</v>
      </c>
      <c r="F150" s="82" t="s">
        <v>411</v>
      </c>
      <c r="G150" s="82" t="s">
        <v>195</v>
      </c>
      <c r="H150" s="121" t="s">
        <v>157</v>
      </c>
      <c r="I150" s="256" t="s">
        <v>1123</v>
      </c>
      <c r="J150" s="138" t="s">
        <v>593</v>
      </c>
      <c r="K150" s="155"/>
      <c r="L150" s="136"/>
      <c r="M150" s="95"/>
      <c r="N150" s="276"/>
      <c r="O150" s="276"/>
      <c r="P150" s="276"/>
      <c r="Q150" s="276"/>
      <c r="R150" s="125"/>
      <c r="S150" s="82"/>
    </row>
    <row r="151" spans="1:19" s="84" customFormat="1" ht="76.150000000000006" customHeight="1" x14ac:dyDescent="0.25">
      <c r="A151" s="168" t="s">
        <v>1116</v>
      </c>
      <c r="B151" s="127"/>
      <c r="C151" s="127"/>
      <c r="D151" s="122" t="s">
        <v>831</v>
      </c>
      <c r="E151" s="122" t="s">
        <v>1118</v>
      </c>
      <c r="F151" s="259" t="s">
        <v>195</v>
      </c>
      <c r="G151" s="259" t="s">
        <v>833</v>
      </c>
      <c r="H151" s="122" t="s">
        <v>1119</v>
      </c>
      <c r="I151" s="142" t="s">
        <v>834</v>
      </c>
      <c r="J151" s="122" t="s">
        <v>593</v>
      </c>
      <c r="K151" s="155"/>
      <c r="L151" s="136"/>
      <c r="M151" s="95"/>
      <c r="N151" s="276"/>
      <c r="O151" s="276"/>
      <c r="P151" s="276"/>
      <c r="Q151" s="276"/>
      <c r="R151" s="125"/>
      <c r="S151" s="82"/>
    </row>
    <row r="152" spans="1:19" s="84" customFormat="1" ht="45" x14ac:dyDescent="0.25">
      <c r="A152" s="171" t="s">
        <v>460</v>
      </c>
      <c r="B152" s="127">
        <v>44992</v>
      </c>
      <c r="C152" s="127">
        <v>44992</v>
      </c>
      <c r="D152" s="122" t="s">
        <v>430</v>
      </c>
      <c r="E152" s="164" t="s">
        <v>461</v>
      </c>
      <c r="F152" s="122"/>
      <c r="G152" s="257"/>
      <c r="H152" s="171" t="s">
        <v>462</v>
      </c>
      <c r="I152" s="122" t="str">
        <f t="shared" si="8"/>
        <v>Приложение №2-ГРС.ЭХЗ</v>
      </c>
      <c r="J152" s="161"/>
      <c r="K152" s="138" t="s">
        <v>527</v>
      </c>
      <c r="L152" s="125"/>
      <c r="M152" s="83"/>
      <c r="N152" s="82"/>
      <c r="O152" s="82"/>
      <c r="P152" s="82"/>
      <c r="Q152" s="82"/>
      <c r="R152" s="125"/>
      <c r="S152" s="82"/>
    </row>
    <row r="153" spans="1:19" s="84" customFormat="1" ht="49.5" customHeight="1" x14ac:dyDescent="0.25">
      <c r="A153" s="121" t="s">
        <v>463</v>
      </c>
      <c r="B153" s="83">
        <v>44993</v>
      </c>
      <c r="C153" s="83">
        <v>44993</v>
      </c>
      <c r="D153" s="82" t="s">
        <v>410</v>
      </c>
      <c r="E153" s="85" t="s">
        <v>464</v>
      </c>
      <c r="F153" s="82" t="s">
        <v>411</v>
      </c>
      <c r="G153" s="137" t="s">
        <v>378</v>
      </c>
      <c r="H153" s="121" t="s">
        <v>157</v>
      </c>
      <c r="I153" s="82" t="str">
        <f t="shared" si="8"/>
        <v>Приложение №107-ГРС.АС</v>
      </c>
      <c r="J153" s="107" t="s">
        <v>182</v>
      </c>
      <c r="K153" s="107" t="s">
        <v>195</v>
      </c>
      <c r="L153" s="135"/>
      <c r="M153" s="127"/>
      <c r="N153" s="122"/>
      <c r="O153" s="122"/>
      <c r="P153" s="122"/>
      <c r="Q153" s="122"/>
      <c r="R153" s="82"/>
      <c r="S153" s="82"/>
    </row>
    <row r="154" spans="1:19" s="84" customFormat="1" ht="51" x14ac:dyDescent="0.25">
      <c r="A154" s="193" t="s">
        <v>465</v>
      </c>
      <c r="B154" s="95">
        <v>44994</v>
      </c>
      <c r="C154" s="95">
        <v>44994</v>
      </c>
      <c r="D154" s="276" t="s">
        <v>170</v>
      </c>
      <c r="E154" s="157" t="s">
        <v>466</v>
      </c>
      <c r="F154" s="276" t="s">
        <v>173</v>
      </c>
      <c r="G154" s="158" t="s">
        <v>222</v>
      </c>
      <c r="H154" s="159" t="s">
        <v>157</v>
      </c>
      <c r="I154" s="276" t="str">
        <f t="shared" si="8"/>
        <v>Приложение №108-ГРС.АС</v>
      </c>
      <c r="J154" s="162" t="s">
        <v>182</v>
      </c>
      <c r="K154" s="107" t="s">
        <v>195</v>
      </c>
      <c r="L154" s="135"/>
      <c r="M154" s="83"/>
      <c r="N154" s="82"/>
      <c r="O154" s="82"/>
      <c r="P154" s="82"/>
      <c r="Q154" s="82"/>
      <c r="R154" s="82"/>
      <c r="S154" s="82"/>
    </row>
    <row r="155" spans="1:19" s="84" customFormat="1" ht="78.75" x14ac:dyDescent="0.25">
      <c r="A155" s="146" t="s">
        <v>467</v>
      </c>
      <c r="B155" s="83">
        <v>44994</v>
      </c>
      <c r="C155" s="83">
        <v>44994</v>
      </c>
      <c r="D155" s="82" t="s">
        <v>468</v>
      </c>
      <c r="E155" s="85" t="s">
        <v>484</v>
      </c>
      <c r="F155" s="82" t="s">
        <v>160</v>
      </c>
      <c r="G155" s="131" t="s">
        <v>358</v>
      </c>
      <c r="H155" s="121" t="s">
        <v>266</v>
      </c>
      <c r="I155" s="82" t="str">
        <f t="shared" si="8"/>
        <v>Приложение №109-ГРС.АС</v>
      </c>
      <c r="J155" s="107" t="s">
        <v>182</v>
      </c>
      <c r="K155" s="155" t="s">
        <v>195</v>
      </c>
      <c r="L155" s="125"/>
      <c r="M155" s="83"/>
      <c r="N155" s="82"/>
      <c r="O155" s="82"/>
      <c r="P155" s="82"/>
      <c r="Q155" s="82"/>
      <c r="R155" s="82"/>
      <c r="S155" s="82"/>
    </row>
    <row r="156" spans="1:19" s="84" customFormat="1" ht="48" x14ac:dyDescent="0.25">
      <c r="A156" s="189" t="s">
        <v>470</v>
      </c>
      <c r="B156" s="109">
        <v>44998</v>
      </c>
      <c r="C156" s="109">
        <v>44998</v>
      </c>
      <c r="D156" s="91" t="s">
        <v>376</v>
      </c>
      <c r="E156" s="190" t="s">
        <v>469</v>
      </c>
      <c r="F156" s="91" t="s">
        <v>377</v>
      </c>
      <c r="G156" s="91" t="s">
        <v>378</v>
      </c>
      <c r="H156" s="194" t="s">
        <v>208</v>
      </c>
      <c r="I156" s="91" t="str">
        <f t="shared" si="8"/>
        <v>Приложение №111-ГРС.АС</v>
      </c>
      <c r="J156" s="170" t="s">
        <v>182</v>
      </c>
      <c r="K156" s="107" t="s">
        <v>195</v>
      </c>
      <c r="L156" s="125"/>
      <c r="M156" s="83"/>
      <c r="N156" s="82"/>
      <c r="O156" s="82"/>
      <c r="P156" s="82"/>
      <c r="Q156" s="82"/>
      <c r="R156" s="82"/>
      <c r="S156" s="82"/>
    </row>
    <row r="157" spans="1:19" s="124" customFormat="1" ht="51" x14ac:dyDescent="0.25">
      <c r="A157" s="279" t="s">
        <v>545</v>
      </c>
      <c r="B157" s="95">
        <v>44998</v>
      </c>
      <c r="C157" s="95">
        <v>44998</v>
      </c>
      <c r="D157" s="276" t="s">
        <v>170</v>
      </c>
      <c r="E157" s="157" t="s">
        <v>546</v>
      </c>
      <c r="F157" s="276" t="s">
        <v>173</v>
      </c>
      <c r="G157" s="158" t="s">
        <v>222</v>
      </c>
      <c r="H157" s="159" t="s">
        <v>208</v>
      </c>
      <c r="I157" s="276" t="str">
        <f t="shared" si="8"/>
        <v>Приложение №111.1-ГРС.АС</v>
      </c>
      <c r="J157" s="162" t="s">
        <v>182</v>
      </c>
      <c r="K157" s="155"/>
      <c r="L157" s="125"/>
      <c r="M157" s="83"/>
      <c r="N157" s="82"/>
      <c r="O157" s="82"/>
      <c r="P157" s="82"/>
      <c r="Q157" s="82"/>
      <c r="R157" s="82"/>
      <c r="S157" s="82"/>
    </row>
    <row r="158" spans="1:19" s="84" customFormat="1" ht="48" x14ac:dyDescent="0.25">
      <c r="A158" s="278" t="s">
        <v>673</v>
      </c>
      <c r="B158" s="83">
        <v>44998</v>
      </c>
      <c r="C158" s="83">
        <v>44998</v>
      </c>
      <c r="D158" s="82" t="s">
        <v>376</v>
      </c>
      <c r="E158" s="85" t="s">
        <v>675</v>
      </c>
      <c r="F158" s="82" t="s">
        <v>173</v>
      </c>
      <c r="G158" s="120" t="s">
        <v>378</v>
      </c>
      <c r="H158" s="121" t="s">
        <v>208</v>
      </c>
      <c r="I158" s="82" t="str">
        <f>CONCATENATE("Приложение"," ","№", A158,)</f>
        <v>Приложение №111.2-ГРС.АС</v>
      </c>
      <c r="J158" s="107" t="s">
        <v>182</v>
      </c>
      <c r="K158" s="155"/>
      <c r="L158" s="136"/>
      <c r="M158" s="109"/>
      <c r="N158" s="91"/>
      <c r="O158" s="91"/>
      <c r="P158" s="91"/>
      <c r="Q158" s="91"/>
      <c r="R158" s="91"/>
      <c r="S158" s="91"/>
    </row>
    <row r="159" spans="1:19" s="84" customFormat="1" ht="48" x14ac:dyDescent="0.25">
      <c r="A159" s="168" t="s">
        <v>471</v>
      </c>
      <c r="B159" s="127">
        <v>44998</v>
      </c>
      <c r="C159" s="127">
        <v>44998</v>
      </c>
      <c r="D159" s="122" t="s">
        <v>376</v>
      </c>
      <c r="E159" s="164" t="s">
        <v>472</v>
      </c>
      <c r="F159" s="122" t="s">
        <v>377</v>
      </c>
      <c r="G159" s="122" t="s">
        <v>378</v>
      </c>
      <c r="H159" s="171" t="s">
        <v>208</v>
      </c>
      <c r="I159" s="122" t="str">
        <f t="shared" si="8"/>
        <v>Приложение №112-ГРС.АС</v>
      </c>
      <c r="J159" s="161" t="s">
        <v>182</v>
      </c>
      <c r="K159" s="107" t="s">
        <v>195</v>
      </c>
      <c r="L159" s="136"/>
      <c r="M159" s="109"/>
      <c r="N159" s="91"/>
      <c r="O159" s="91"/>
      <c r="P159" s="91"/>
      <c r="Q159" s="91"/>
      <c r="R159" s="91"/>
      <c r="S159" s="91"/>
    </row>
    <row r="160" spans="1:19" s="84" customFormat="1" ht="51" x14ac:dyDescent="0.25">
      <c r="A160" s="278" t="s">
        <v>573</v>
      </c>
      <c r="B160" s="83">
        <v>44998</v>
      </c>
      <c r="C160" s="83">
        <v>44998</v>
      </c>
      <c r="D160" s="82" t="s">
        <v>170</v>
      </c>
      <c r="E160" s="85" t="s">
        <v>594</v>
      </c>
      <c r="F160" s="82" t="s">
        <v>173</v>
      </c>
      <c r="G160" s="120" t="s">
        <v>222</v>
      </c>
      <c r="H160" s="121" t="s">
        <v>208</v>
      </c>
      <c r="I160" s="82" t="str">
        <f t="shared" si="8"/>
        <v>Приложение №112.1-ГРС.АС</v>
      </c>
      <c r="J160" s="107" t="s">
        <v>182</v>
      </c>
      <c r="K160" s="107"/>
      <c r="L160" s="136"/>
      <c r="M160" s="109"/>
      <c r="N160" s="91"/>
      <c r="O160" s="91"/>
      <c r="P160" s="91"/>
      <c r="Q160" s="91"/>
      <c r="R160" s="91"/>
      <c r="S160" s="91"/>
    </row>
    <row r="161" spans="1:119" s="82" customFormat="1" ht="48" x14ac:dyDescent="0.25">
      <c r="A161" s="146" t="s">
        <v>474</v>
      </c>
      <c r="B161" s="83">
        <v>44998</v>
      </c>
      <c r="C161" s="83">
        <v>44998</v>
      </c>
      <c r="D161" s="82" t="s">
        <v>376</v>
      </c>
      <c r="E161" s="85" t="s">
        <v>473</v>
      </c>
      <c r="F161" s="82" t="s">
        <v>377</v>
      </c>
      <c r="G161" s="82" t="s">
        <v>378</v>
      </c>
      <c r="H161" s="121" t="s">
        <v>487</v>
      </c>
      <c r="I161" s="82" t="str">
        <f t="shared" si="8"/>
        <v>Приложение №113-ГРС.АС</v>
      </c>
      <c r="J161" s="107" t="s">
        <v>182</v>
      </c>
      <c r="K161" s="107" t="s">
        <v>195</v>
      </c>
      <c r="L161" s="125"/>
      <c r="M161" s="83"/>
    </row>
    <row r="162" spans="1:119" s="82" customFormat="1" ht="51" x14ac:dyDescent="0.25">
      <c r="A162" s="279" t="s">
        <v>549</v>
      </c>
      <c r="B162" s="95">
        <v>44998</v>
      </c>
      <c r="C162" s="95">
        <v>44998</v>
      </c>
      <c r="D162" s="276" t="s">
        <v>170</v>
      </c>
      <c r="E162" s="157" t="s">
        <v>550</v>
      </c>
      <c r="F162" s="276" t="s">
        <v>173</v>
      </c>
      <c r="G162" s="158" t="s">
        <v>222</v>
      </c>
      <c r="H162" s="159" t="s">
        <v>487</v>
      </c>
      <c r="I162" s="276" t="str">
        <f t="shared" si="8"/>
        <v>Приложение №113.1-ГРС.АС</v>
      </c>
      <c r="J162" s="162" t="s">
        <v>182</v>
      </c>
      <c r="K162" s="107"/>
      <c r="L162" s="125"/>
      <c r="M162" s="83"/>
    </row>
    <row r="163" spans="1:119" s="84" customFormat="1" ht="48" x14ac:dyDescent="0.25">
      <c r="A163" s="156" t="s">
        <v>674</v>
      </c>
      <c r="B163" s="95">
        <v>44999</v>
      </c>
      <c r="C163" s="95">
        <v>44999</v>
      </c>
      <c r="D163" s="276" t="s">
        <v>376</v>
      </c>
      <c r="E163" s="157" t="s">
        <v>679</v>
      </c>
      <c r="F163" s="276" t="s">
        <v>377</v>
      </c>
      <c r="G163" s="276" t="s">
        <v>378</v>
      </c>
      <c r="H163" s="159" t="s">
        <v>487</v>
      </c>
      <c r="I163" s="276" t="str">
        <f>CONCATENATE("Приложение"," ","№", A163,", протокол № ФОМ13/ГРС")</f>
        <v>Приложение №113.2-ГРС.АС, протокол № ФОМ13/ГРС</v>
      </c>
      <c r="J163" s="162" t="s">
        <v>182</v>
      </c>
      <c r="K163" s="155"/>
      <c r="L163" s="136"/>
      <c r="M163" s="109"/>
      <c r="N163" s="91"/>
      <c r="O163" s="91"/>
      <c r="P163" s="91"/>
      <c r="Q163" s="91"/>
      <c r="R163" s="91"/>
      <c r="S163" s="91"/>
    </row>
    <row r="164" spans="1:119" s="84" customFormat="1" ht="85.15" customHeight="1" x14ac:dyDescent="0.25">
      <c r="A164" s="256" t="s">
        <v>1197</v>
      </c>
      <c r="B164" s="83">
        <v>45029</v>
      </c>
      <c r="C164" s="83">
        <v>45029</v>
      </c>
      <c r="D164" s="82" t="s">
        <v>516</v>
      </c>
      <c r="E164" s="85" t="s">
        <v>1196</v>
      </c>
      <c r="F164" s="82" t="s">
        <v>595</v>
      </c>
      <c r="G164" s="82" t="s">
        <v>579</v>
      </c>
      <c r="H164" s="121" t="s">
        <v>487</v>
      </c>
      <c r="I164" s="82" t="s">
        <v>1198</v>
      </c>
      <c r="J164" s="162" t="s">
        <v>182</v>
      </c>
      <c r="K164" s="155"/>
      <c r="L164" s="136"/>
      <c r="M164" s="109"/>
      <c r="N164" s="91"/>
      <c r="O164" s="91"/>
      <c r="P164" s="91"/>
      <c r="Q164" s="91"/>
      <c r="R164" s="91"/>
      <c r="S164" s="91"/>
    </row>
    <row r="165" spans="1:119" s="182" customFormat="1" ht="60" x14ac:dyDescent="0.25">
      <c r="A165" s="168" t="s">
        <v>475</v>
      </c>
      <c r="B165" s="179">
        <v>44997</v>
      </c>
      <c r="C165" s="179">
        <v>45004</v>
      </c>
      <c r="D165" s="263" t="s">
        <v>170</v>
      </c>
      <c r="E165" s="264" t="s">
        <v>485</v>
      </c>
      <c r="F165" s="263" t="s">
        <v>171</v>
      </c>
      <c r="G165" s="263" t="s">
        <v>677</v>
      </c>
      <c r="H165" s="265" t="s">
        <v>208</v>
      </c>
      <c r="I165" s="263" t="str">
        <f>CONCATENATE("Приложение"," ","№", A165,", протокол №1П- Фом6")</f>
        <v>Приложение №114-ГРС.АС, протокол №1П- Фом6</v>
      </c>
      <c r="J165" s="266" t="s">
        <v>182</v>
      </c>
      <c r="K165" s="185" t="s">
        <v>195</v>
      </c>
      <c r="L165" s="135" t="str">
        <f>A165</f>
        <v>114-ГРС.АС</v>
      </c>
      <c r="M165" s="83">
        <f>B165</f>
        <v>44997</v>
      </c>
      <c r="N165" s="82" t="s">
        <v>622</v>
      </c>
      <c r="O165" s="82">
        <v>4.32</v>
      </c>
      <c r="P165" s="82" t="s">
        <v>676</v>
      </c>
      <c r="Q165" s="82" t="s">
        <v>575</v>
      </c>
      <c r="R165" s="82" t="str">
        <f>H165</f>
        <v>72-01-7353/500-13-63/313-1-ГРС.АС, лист 7</v>
      </c>
      <c r="S165" s="82"/>
    </row>
    <row r="166" spans="1:119" s="178" customFormat="1" ht="60" x14ac:dyDescent="0.25">
      <c r="A166" s="211" t="s">
        <v>571</v>
      </c>
      <c r="B166" s="180">
        <v>44997</v>
      </c>
      <c r="C166" s="180">
        <v>45004</v>
      </c>
      <c r="D166" s="181" t="s">
        <v>170</v>
      </c>
      <c r="E166" s="186" t="s">
        <v>572</v>
      </c>
      <c r="F166" s="181" t="s">
        <v>171</v>
      </c>
      <c r="G166" s="181" t="s">
        <v>677</v>
      </c>
      <c r="H166" s="187" t="s">
        <v>208</v>
      </c>
      <c r="I166" s="181" t="str">
        <f>CONCATENATE("Приложение"," ","№", A166,", протокол №1П- Фом7")</f>
        <v>Приложение №114.1-ГРС.АС, протокол №1П- Фом7</v>
      </c>
      <c r="J166" s="188" t="s">
        <v>182</v>
      </c>
      <c r="K166" s="175" t="s">
        <v>195</v>
      </c>
      <c r="L166" s="176"/>
      <c r="M166" s="177"/>
      <c r="R166" s="176"/>
    </row>
    <row r="167" spans="1:119" s="114" customFormat="1" ht="48" x14ac:dyDescent="0.25">
      <c r="A167" s="146" t="s">
        <v>486</v>
      </c>
      <c r="B167" s="83">
        <v>44998</v>
      </c>
      <c r="C167" s="83">
        <v>44998</v>
      </c>
      <c r="D167" s="82" t="s">
        <v>376</v>
      </c>
      <c r="E167" s="85" t="s">
        <v>1081</v>
      </c>
      <c r="F167" s="82" t="s">
        <v>377</v>
      </c>
      <c r="G167" s="82" t="s">
        <v>378</v>
      </c>
      <c r="H167" s="121" t="s">
        <v>487</v>
      </c>
      <c r="I167" s="82" t="str">
        <f>CONCATENATE("Приложение"," ","№", A167,)</f>
        <v>Приложение №115-ГРС.АС</v>
      </c>
      <c r="J167" s="107" t="s">
        <v>182</v>
      </c>
      <c r="K167" s="155" t="s">
        <v>195</v>
      </c>
      <c r="L167" s="136"/>
      <c r="M167" s="109"/>
      <c r="N167" s="91"/>
      <c r="O167" s="91"/>
      <c r="P167" s="91"/>
      <c r="Q167" s="91"/>
      <c r="R167" s="91"/>
      <c r="S167" s="91"/>
    </row>
    <row r="168" spans="1:119" s="114" customFormat="1" x14ac:dyDescent="0.25">
      <c r="A168" s="189"/>
      <c r="B168" s="109"/>
      <c r="C168" s="109"/>
      <c r="D168" s="91"/>
      <c r="E168" s="190"/>
      <c r="F168" s="91"/>
      <c r="G168" s="91"/>
      <c r="H168" s="194"/>
      <c r="I168" s="91"/>
      <c r="J168" s="170"/>
      <c r="K168" s="155"/>
      <c r="L168" s="136"/>
      <c r="M168" s="109"/>
      <c r="N168" s="91"/>
      <c r="O168" s="91"/>
      <c r="P168" s="91"/>
      <c r="Q168" s="91"/>
      <c r="R168" s="136"/>
      <c r="S168" s="91"/>
    </row>
    <row r="169" spans="1:119" s="154" customFormat="1" ht="75" x14ac:dyDescent="0.25">
      <c r="A169" s="210" t="s">
        <v>615</v>
      </c>
      <c r="B169" s="247">
        <v>44945</v>
      </c>
      <c r="C169" s="247">
        <v>44998</v>
      </c>
      <c r="D169" s="278" t="s">
        <v>616</v>
      </c>
      <c r="E169" s="248" t="s">
        <v>617</v>
      </c>
      <c r="F169" s="278" t="s">
        <v>378</v>
      </c>
      <c r="G169" s="278" t="s">
        <v>378</v>
      </c>
      <c r="H169" s="130" t="s">
        <v>618</v>
      </c>
      <c r="I169" s="278" t="str">
        <f>CONCATENATE("Приложение"," ","№", A169,", протокол")</f>
        <v>Приложение №115.1-ГРС.АС, протокол</v>
      </c>
      <c r="J169" s="249" t="s">
        <v>182</v>
      </c>
      <c r="K169" s="250"/>
      <c r="L169" s="125"/>
      <c r="M169" s="83"/>
      <c r="N169" s="82"/>
      <c r="O169" s="82"/>
      <c r="P169" s="82"/>
      <c r="Q169" s="82"/>
      <c r="R169" s="125"/>
      <c r="S169" s="82"/>
      <c r="T169" s="251"/>
      <c r="U169" s="251"/>
      <c r="V169" s="251"/>
      <c r="W169" s="251"/>
      <c r="X169" s="251"/>
      <c r="Y169" s="251"/>
      <c r="Z169" s="251"/>
      <c r="AA169" s="251"/>
      <c r="AB169" s="251"/>
      <c r="AC169" s="251"/>
      <c r="AD169" s="251"/>
      <c r="AE169" s="251" t="s">
        <v>132</v>
      </c>
      <c r="AF169" s="251"/>
      <c r="AG169" s="251"/>
      <c r="AH169" s="251"/>
      <c r="AI169" s="251"/>
      <c r="AJ169" s="251"/>
      <c r="AK169" s="251"/>
      <c r="AL169" s="251"/>
      <c r="AM169" s="251"/>
      <c r="AN169" s="251"/>
      <c r="AO169" s="251"/>
      <c r="AP169" s="251"/>
      <c r="AQ169" s="251"/>
      <c r="AR169" s="251"/>
      <c r="AS169" s="251"/>
      <c r="AT169" s="251"/>
      <c r="AU169" s="251"/>
      <c r="AV169" s="251"/>
      <c r="AW169" s="251"/>
      <c r="AX169" s="251"/>
      <c r="AY169" s="251"/>
      <c r="AZ169" s="251"/>
      <c r="BA169" s="251"/>
      <c r="BB169" s="251"/>
      <c r="BC169" s="251"/>
      <c r="BD169" s="251"/>
      <c r="BE169" s="251"/>
      <c r="BF169" s="251"/>
      <c r="BG169" s="251"/>
      <c r="BH169" s="251"/>
      <c r="BI169" s="251"/>
      <c r="BJ169" s="251"/>
      <c r="BK169" s="251"/>
      <c r="BL169" s="251"/>
      <c r="BM169" s="251"/>
      <c r="BN169" s="251"/>
      <c r="BO169" s="251"/>
      <c r="BP169" s="251"/>
      <c r="BQ169" s="251"/>
      <c r="BR169" s="251"/>
      <c r="BS169" s="251"/>
      <c r="BT169" s="251"/>
      <c r="BU169" s="251"/>
      <c r="BV169" s="251"/>
      <c r="BW169" s="251"/>
      <c r="BX169" s="251"/>
      <c r="BY169" s="251"/>
      <c r="BZ169" s="251"/>
      <c r="CA169" s="251"/>
      <c r="CB169" s="251"/>
      <c r="CC169" s="251"/>
      <c r="CD169" s="251"/>
      <c r="CE169" s="251"/>
      <c r="CF169" s="251"/>
      <c r="CG169" s="251"/>
      <c r="CH169" s="251"/>
      <c r="CI169" s="251"/>
      <c r="CJ169" s="251"/>
      <c r="CK169" s="251"/>
      <c r="CL169" s="251"/>
      <c r="CM169" s="251"/>
      <c r="CN169" s="251"/>
      <c r="CO169" s="251"/>
      <c r="CP169" s="251"/>
      <c r="CQ169" s="251"/>
      <c r="CR169" s="251"/>
      <c r="CS169" s="251"/>
      <c r="CT169" s="251"/>
      <c r="CU169" s="251"/>
      <c r="CV169" s="251"/>
      <c r="CW169" s="251"/>
      <c r="CX169" s="251"/>
      <c r="CY169" s="251"/>
      <c r="CZ169" s="251"/>
      <c r="DA169" s="251"/>
      <c r="DB169" s="251"/>
      <c r="DC169" s="251"/>
      <c r="DD169" s="251"/>
      <c r="DE169" s="251"/>
      <c r="DF169" s="251"/>
      <c r="DG169" s="251"/>
      <c r="DH169" s="251"/>
      <c r="DI169" s="251"/>
      <c r="DJ169" s="251"/>
      <c r="DK169" s="251"/>
      <c r="DL169" s="251"/>
      <c r="DM169" s="251"/>
      <c r="DN169" s="251"/>
      <c r="DO169" s="251"/>
    </row>
    <row r="170" spans="1:119" s="117" customFormat="1" ht="165" x14ac:dyDescent="0.25">
      <c r="A170" s="163" t="s">
        <v>488</v>
      </c>
      <c r="B170" s="127">
        <v>44996</v>
      </c>
      <c r="C170" s="127">
        <v>44996</v>
      </c>
      <c r="D170" s="122" t="s">
        <v>171</v>
      </c>
      <c r="E170" s="164" t="s">
        <v>532</v>
      </c>
      <c r="F170" s="122" t="s">
        <v>510</v>
      </c>
      <c r="G170" s="122" t="s">
        <v>353</v>
      </c>
      <c r="H170" s="171" t="s">
        <v>267</v>
      </c>
      <c r="I170" s="122" t="str">
        <f>CONCATENATE("Приложение"," ","№", A170,)</f>
        <v>Приложение №116-ГРС.АС</v>
      </c>
      <c r="J170" s="161" t="s">
        <v>182</v>
      </c>
      <c r="K170" s="107" t="s">
        <v>533</v>
      </c>
      <c r="L170" s="136"/>
      <c r="M170" s="109"/>
      <c r="N170" s="91"/>
      <c r="O170" s="91"/>
      <c r="P170" s="91"/>
      <c r="Q170" s="91"/>
      <c r="R170" s="136"/>
      <c r="S170" s="91"/>
    </row>
    <row r="171" spans="1:119" s="112" customFormat="1" ht="60" x14ac:dyDescent="0.25">
      <c r="A171" s="146" t="s">
        <v>551</v>
      </c>
      <c r="B171" s="83">
        <v>44998</v>
      </c>
      <c r="C171" s="83">
        <v>45005</v>
      </c>
      <c r="D171" s="82" t="s">
        <v>155</v>
      </c>
      <c r="E171" s="85" t="s">
        <v>552</v>
      </c>
      <c r="F171" s="82" t="s">
        <v>171</v>
      </c>
      <c r="G171" s="82" t="s">
        <v>591</v>
      </c>
      <c r="H171" s="82" t="s">
        <v>487</v>
      </c>
      <c r="I171" s="82" t="str">
        <f>CONCATENATE("Приложение"," ","№", A171,", ","протокол испытания 1Ф-ФОМ13 от 20.03.2023г")</f>
        <v>Приложение №116.1-ГРС.АС, протокол испытания 1Ф-ФОМ13 от 20.03.2023г</v>
      </c>
      <c r="J171" s="107" t="s">
        <v>182</v>
      </c>
      <c r="K171" s="107"/>
      <c r="L171" s="139" t="s">
        <v>619</v>
      </c>
      <c r="M171" s="95">
        <v>44998</v>
      </c>
      <c r="N171" s="276" t="s">
        <v>622</v>
      </c>
      <c r="O171" s="276" t="s">
        <v>620</v>
      </c>
      <c r="P171" s="276" t="s">
        <v>621</v>
      </c>
      <c r="Q171" s="276" t="s">
        <v>575</v>
      </c>
      <c r="R171" s="276" t="s">
        <v>154</v>
      </c>
      <c r="S171" s="276"/>
    </row>
    <row r="172" spans="1:119" s="113" customFormat="1" ht="114.75" x14ac:dyDescent="0.25">
      <c r="A172" s="278" t="s">
        <v>553</v>
      </c>
      <c r="B172" s="83">
        <v>45000</v>
      </c>
      <c r="C172" s="83">
        <v>45000</v>
      </c>
      <c r="D172" s="82" t="s">
        <v>171</v>
      </c>
      <c r="E172" s="85" t="s">
        <v>554</v>
      </c>
      <c r="F172" s="82" t="s">
        <v>510</v>
      </c>
      <c r="G172" s="120" t="s">
        <v>353</v>
      </c>
      <c r="H172" s="121" t="s">
        <v>487</v>
      </c>
      <c r="I172" s="82" t="str">
        <f t="shared" ref="I172:I193" si="9">CONCATENATE("Приложение"," ","№", A172,)</f>
        <v>Приложение №116.2-ГРС.АС</v>
      </c>
      <c r="J172" s="107" t="s">
        <v>182</v>
      </c>
      <c r="K172" s="107" t="s">
        <v>524</v>
      </c>
      <c r="L172" s="125"/>
      <c r="M172" s="83"/>
      <c r="N172" s="82"/>
      <c r="O172" s="82"/>
      <c r="P172" s="82"/>
      <c r="Q172" s="82"/>
      <c r="R172" s="82"/>
      <c r="S172" s="82"/>
    </row>
    <row r="173" spans="1:119" s="117" customFormat="1" ht="114.75" x14ac:dyDescent="0.25">
      <c r="A173" s="278" t="s">
        <v>489</v>
      </c>
      <c r="B173" s="83">
        <v>44997</v>
      </c>
      <c r="C173" s="83">
        <v>45002</v>
      </c>
      <c r="D173" s="82" t="s">
        <v>171</v>
      </c>
      <c r="E173" s="85" t="s">
        <v>509</v>
      </c>
      <c r="F173" s="82" t="s">
        <v>510</v>
      </c>
      <c r="G173" s="120" t="s">
        <v>353</v>
      </c>
      <c r="H173" s="121" t="s">
        <v>415</v>
      </c>
      <c r="I173" s="82" t="str">
        <f t="shared" si="9"/>
        <v>Приложение №117-ГРС.АС</v>
      </c>
      <c r="J173" s="107" t="s">
        <v>182</v>
      </c>
      <c r="K173" s="107" t="s">
        <v>524</v>
      </c>
      <c r="L173" s="135"/>
      <c r="M173" s="127"/>
      <c r="N173" s="122"/>
      <c r="O173" s="122"/>
      <c r="P173" s="122"/>
      <c r="Q173" s="122"/>
      <c r="R173" s="135"/>
      <c r="S173" s="122"/>
    </row>
    <row r="174" spans="1:119" s="118" customFormat="1" ht="60" x14ac:dyDescent="0.25">
      <c r="A174" s="149" t="s">
        <v>490</v>
      </c>
      <c r="B174" s="144">
        <v>45000</v>
      </c>
      <c r="C174" s="144">
        <v>45000</v>
      </c>
      <c r="D174" s="110" t="s">
        <v>455</v>
      </c>
      <c r="E174" s="123" t="s">
        <v>581</v>
      </c>
      <c r="F174" s="110" t="s">
        <v>456</v>
      </c>
      <c r="G174" s="110" t="s">
        <v>481</v>
      </c>
      <c r="H174" s="110" t="s">
        <v>216</v>
      </c>
      <c r="I174" s="82" t="str">
        <f t="shared" si="9"/>
        <v>Приложение №118-ГРС.АС</v>
      </c>
      <c r="J174" s="138" t="s">
        <v>593</v>
      </c>
      <c r="K174" s="138" t="s">
        <v>195</v>
      </c>
      <c r="L174" s="140"/>
      <c r="M174" s="141"/>
      <c r="N174" s="142"/>
      <c r="O174" s="142"/>
      <c r="P174" s="142"/>
      <c r="Q174" s="142"/>
      <c r="R174" s="110"/>
      <c r="S174" s="110"/>
    </row>
    <row r="175" spans="1:119" s="118" customFormat="1" ht="60" x14ac:dyDescent="0.25">
      <c r="A175" s="212" t="s">
        <v>493</v>
      </c>
      <c r="B175" s="144">
        <v>45000</v>
      </c>
      <c r="C175" s="144">
        <v>45000</v>
      </c>
      <c r="D175" s="110" t="s">
        <v>455</v>
      </c>
      <c r="E175" s="123" t="s">
        <v>582</v>
      </c>
      <c r="F175" s="110" t="s">
        <v>456</v>
      </c>
      <c r="G175" s="110" t="s">
        <v>481</v>
      </c>
      <c r="H175" s="110" t="s">
        <v>217</v>
      </c>
      <c r="I175" s="82" t="str">
        <f t="shared" si="9"/>
        <v>Приложение №119-ГРС.АС</v>
      </c>
      <c r="J175" s="138" t="s">
        <v>593</v>
      </c>
      <c r="K175" s="138" t="s">
        <v>195</v>
      </c>
      <c r="L175" s="143"/>
      <c r="M175" s="144"/>
      <c r="N175" s="110"/>
      <c r="O175" s="110"/>
      <c r="P175" s="110"/>
      <c r="Q175" s="110"/>
      <c r="R175" s="110"/>
      <c r="S175" s="110"/>
    </row>
    <row r="176" spans="1:119" s="118" customFormat="1" ht="60" x14ac:dyDescent="0.25">
      <c r="A176" s="242" t="s">
        <v>494</v>
      </c>
      <c r="B176" s="243">
        <v>45000</v>
      </c>
      <c r="C176" s="243">
        <v>45000</v>
      </c>
      <c r="D176" s="192" t="s">
        <v>455</v>
      </c>
      <c r="E176" s="191" t="s">
        <v>583</v>
      </c>
      <c r="F176" s="192" t="s">
        <v>456</v>
      </c>
      <c r="G176" s="192" t="s">
        <v>481</v>
      </c>
      <c r="H176" s="192" t="s">
        <v>217</v>
      </c>
      <c r="I176" s="276" t="str">
        <f t="shared" si="9"/>
        <v>Приложение №121-ГРС.АС</v>
      </c>
      <c r="J176" s="160" t="s">
        <v>593</v>
      </c>
      <c r="K176" s="138" t="s">
        <v>195</v>
      </c>
      <c r="L176" s="143"/>
      <c r="M176" s="144"/>
      <c r="N176" s="110"/>
      <c r="O176" s="110"/>
      <c r="P176" s="110"/>
      <c r="Q176" s="110"/>
      <c r="R176" s="110"/>
      <c r="S176" s="110"/>
    </row>
    <row r="177" spans="1:19" s="118" customFormat="1" ht="68.45" customHeight="1" x14ac:dyDescent="0.25">
      <c r="A177" s="110" t="s">
        <v>1077</v>
      </c>
      <c r="B177" s="144">
        <v>45005</v>
      </c>
      <c r="C177" s="144">
        <v>45005</v>
      </c>
      <c r="D177" s="82" t="s">
        <v>831</v>
      </c>
      <c r="E177" s="82" t="s">
        <v>1078</v>
      </c>
      <c r="F177" s="92" t="s">
        <v>195</v>
      </c>
      <c r="G177" s="92" t="s">
        <v>833</v>
      </c>
      <c r="H177" s="82" t="s">
        <v>217</v>
      </c>
      <c r="I177" s="110" t="s">
        <v>1079</v>
      </c>
      <c r="J177" s="82" t="s">
        <v>593</v>
      </c>
      <c r="K177" s="241"/>
      <c r="L177" s="143"/>
      <c r="M177" s="144"/>
      <c r="N177" s="110"/>
      <c r="O177" s="110"/>
      <c r="P177" s="110"/>
      <c r="Q177" s="110"/>
      <c r="R177" s="110"/>
      <c r="S177" s="110"/>
    </row>
    <row r="178" spans="1:19" s="118" customFormat="1" ht="60" x14ac:dyDescent="0.25">
      <c r="A178" s="244" t="s">
        <v>495</v>
      </c>
      <c r="B178" s="141">
        <v>45000</v>
      </c>
      <c r="C178" s="141">
        <v>45000</v>
      </c>
      <c r="D178" s="142" t="s">
        <v>455</v>
      </c>
      <c r="E178" s="245" t="s">
        <v>589</v>
      </c>
      <c r="F178" s="142" t="s">
        <v>456</v>
      </c>
      <c r="G178" s="142" t="s">
        <v>481</v>
      </c>
      <c r="H178" s="142" t="s">
        <v>208</v>
      </c>
      <c r="I178" s="122" t="str">
        <f t="shared" si="9"/>
        <v>Приложение №122-ГРС.АС</v>
      </c>
      <c r="J178" s="246" t="s">
        <v>593</v>
      </c>
      <c r="K178" s="138" t="s">
        <v>195</v>
      </c>
      <c r="L178" s="143"/>
      <c r="M178" s="144"/>
      <c r="N178" s="110"/>
      <c r="O178" s="110"/>
      <c r="P178" s="110"/>
      <c r="Q178" s="110"/>
      <c r="R178" s="110"/>
      <c r="S178" s="110"/>
    </row>
    <row r="179" spans="1:19" s="117" customFormat="1" ht="60" x14ac:dyDescent="0.25">
      <c r="A179" s="278" t="s">
        <v>496</v>
      </c>
      <c r="B179" s="83">
        <v>45000</v>
      </c>
      <c r="C179" s="83">
        <v>45000</v>
      </c>
      <c r="D179" s="82" t="s">
        <v>455</v>
      </c>
      <c r="E179" s="85" t="s">
        <v>526</v>
      </c>
      <c r="F179" s="82" t="s">
        <v>456</v>
      </c>
      <c r="G179" s="82" t="s">
        <v>481</v>
      </c>
      <c r="H179" s="121" t="s">
        <v>215</v>
      </c>
      <c r="I179" s="82" t="str">
        <f t="shared" si="9"/>
        <v>Приложение №123-ГРС.АС</v>
      </c>
      <c r="J179" s="138" t="s">
        <v>593</v>
      </c>
      <c r="K179" s="107" t="s">
        <v>195</v>
      </c>
      <c r="L179" s="125"/>
      <c r="M179" s="83"/>
      <c r="N179" s="82"/>
      <c r="O179" s="82"/>
      <c r="P179" s="82"/>
      <c r="Q179" s="82"/>
      <c r="R179" s="82"/>
      <c r="S179" s="82"/>
    </row>
    <row r="180" spans="1:19" s="115" customFormat="1" ht="90.75" customHeight="1" x14ac:dyDescent="0.25">
      <c r="A180" s="82" t="s">
        <v>497</v>
      </c>
      <c r="B180" s="83">
        <v>45000</v>
      </c>
      <c r="C180" s="83">
        <v>45000</v>
      </c>
      <c r="D180" s="82" t="s">
        <v>171</v>
      </c>
      <c r="E180" s="85" t="s">
        <v>502</v>
      </c>
      <c r="F180" s="82" t="s">
        <v>510</v>
      </c>
      <c r="G180" s="82"/>
      <c r="H180" s="82"/>
      <c r="I180" s="82" t="str">
        <f t="shared" si="9"/>
        <v>Приложение №124-ГРС.АС</v>
      </c>
      <c r="J180" s="107" t="s">
        <v>151</v>
      </c>
      <c r="K180" s="107" t="s">
        <v>195</v>
      </c>
      <c r="L180" s="125"/>
      <c r="M180" s="83"/>
      <c r="N180" s="82"/>
      <c r="O180" s="82"/>
      <c r="P180" s="82"/>
      <c r="Q180" s="82"/>
      <c r="R180" s="82"/>
      <c r="S180" s="82"/>
    </row>
    <row r="181" spans="1:19" s="115" customFormat="1" ht="84" x14ac:dyDescent="0.25">
      <c r="A181" s="82" t="s">
        <v>498</v>
      </c>
      <c r="B181" s="83">
        <v>45000</v>
      </c>
      <c r="C181" s="83">
        <v>45000</v>
      </c>
      <c r="D181" s="82" t="s">
        <v>171</v>
      </c>
      <c r="E181" s="85" t="s">
        <v>503</v>
      </c>
      <c r="F181" s="82" t="s">
        <v>510</v>
      </c>
      <c r="G181" s="82"/>
      <c r="H181" s="82"/>
      <c r="I181" s="82" t="str">
        <f t="shared" si="9"/>
        <v>Приложение №125-ГРС.АС</v>
      </c>
      <c r="J181" s="107" t="s">
        <v>151</v>
      </c>
      <c r="K181" s="107" t="s">
        <v>195</v>
      </c>
      <c r="L181" s="139"/>
      <c r="M181" s="95"/>
      <c r="N181" s="276"/>
      <c r="O181" s="276"/>
      <c r="P181" s="276"/>
      <c r="Q181" s="276"/>
      <c r="R181" s="82"/>
      <c r="S181" s="82"/>
    </row>
    <row r="182" spans="1:19" s="116" customFormat="1" ht="114.75" x14ac:dyDescent="0.25">
      <c r="A182" s="82" t="s">
        <v>499</v>
      </c>
      <c r="B182" s="83">
        <v>45001</v>
      </c>
      <c r="C182" s="83">
        <v>45001</v>
      </c>
      <c r="D182" s="82" t="s">
        <v>171</v>
      </c>
      <c r="E182" s="85" t="s">
        <v>511</v>
      </c>
      <c r="F182" s="82" t="s">
        <v>510</v>
      </c>
      <c r="G182" s="120" t="s">
        <v>353</v>
      </c>
      <c r="H182" s="121" t="s">
        <v>417</v>
      </c>
      <c r="I182" s="82" t="str">
        <f t="shared" si="9"/>
        <v>Приложение №126-ГРС.АС</v>
      </c>
      <c r="J182" s="107" t="s">
        <v>151</v>
      </c>
      <c r="K182" s="107" t="s">
        <v>524</v>
      </c>
      <c r="L182" s="139"/>
      <c r="M182" s="95"/>
      <c r="N182" s="276"/>
      <c r="O182" s="276"/>
      <c r="P182" s="276"/>
      <c r="Q182" s="276"/>
      <c r="R182" s="125"/>
      <c r="S182" s="82"/>
    </row>
    <row r="183" spans="1:19" s="117" customFormat="1" ht="112.5" customHeight="1" x14ac:dyDescent="0.25">
      <c r="A183" s="278" t="s">
        <v>500</v>
      </c>
      <c r="B183" s="83">
        <v>45001</v>
      </c>
      <c r="C183" s="83">
        <v>45001</v>
      </c>
      <c r="D183" s="82" t="s">
        <v>171</v>
      </c>
      <c r="E183" s="85" t="s">
        <v>512</v>
      </c>
      <c r="F183" s="82" t="s">
        <v>510</v>
      </c>
      <c r="G183" s="120" t="s">
        <v>353</v>
      </c>
      <c r="H183" s="121" t="s">
        <v>208</v>
      </c>
      <c r="I183" s="82" t="str">
        <f t="shared" si="9"/>
        <v>Приложение №127-ГРС.АС</v>
      </c>
      <c r="J183" s="107" t="s">
        <v>151</v>
      </c>
      <c r="K183" s="107" t="s">
        <v>524</v>
      </c>
      <c r="L183" s="139"/>
      <c r="M183" s="95"/>
      <c r="N183" s="276"/>
      <c r="O183" s="276"/>
      <c r="P183" s="276"/>
      <c r="Q183" s="276"/>
      <c r="R183" s="125"/>
      <c r="S183" s="82"/>
    </row>
    <row r="184" spans="1:19" s="117" customFormat="1" ht="60" x14ac:dyDescent="0.25">
      <c r="A184" s="278" t="s">
        <v>501</v>
      </c>
      <c r="B184" s="83">
        <v>45002</v>
      </c>
      <c r="C184" s="83">
        <v>45002</v>
      </c>
      <c r="D184" s="82" t="s">
        <v>455</v>
      </c>
      <c r="E184" s="123" t="s">
        <v>580</v>
      </c>
      <c r="F184" s="82" t="s">
        <v>456</v>
      </c>
      <c r="G184" s="110" t="s">
        <v>481</v>
      </c>
      <c r="H184" s="121" t="s">
        <v>207</v>
      </c>
      <c r="I184" s="82" t="str">
        <f t="shared" si="9"/>
        <v>Приложение №129-ГРС.АС</v>
      </c>
      <c r="J184" s="138" t="s">
        <v>593</v>
      </c>
      <c r="K184" s="107" t="s">
        <v>195</v>
      </c>
      <c r="L184" s="135"/>
      <c r="M184" s="127"/>
      <c r="N184" s="122"/>
      <c r="O184" s="122"/>
      <c r="P184" s="122"/>
      <c r="Q184" s="122"/>
      <c r="R184" s="82"/>
      <c r="S184" s="82"/>
    </row>
    <row r="185" spans="1:19" s="117" customFormat="1" ht="60" x14ac:dyDescent="0.25">
      <c r="A185" s="278" t="s">
        <v>491</v>
      </c>
      <c r="B185" s="83">
        <v>45002</v>
      </c>
      <c r="C185" s="83">
        <v>45002</v>
      </c>
      <c r="D185" s="82" t="s">
        <v>455</v>
      </c>
      <c r="E185" s="123" t="s">
        <v>584</v>
      </c>
      <c r="F185" s="82" t="s">
        <v>456</v>
      </c>
      <c r="G185" s="110" t="s">
        <v>481</v>
      </c>
      <c r="H185" s="121" t="s">
        <v>208</v>
      </c>
      <c r="I185" s="82" t="str">
        <f t="shared" si="9"/>
        <v>Приложение №130-ГРС.АС</v>
      </c>
      <c r="J185" s="138" t="s">
        <v>593</v>
      </c>
      <c r="K185" s="107" t="s">
        <v>195</v>
      </c>
      <c r="L185" s="125"/>
      <c r="M185" s="83"/>
      <c r="N185" s="82"/>
      <c r="O185" s="82"/>
      <c r="P185" s="82"/>
      <c r="Q185" s="82"/>
      <c r="R185" s="82"/>
      <c r="S185" s="82"/>
    </row>
    <row r="186" spans="1:19" s="117" customFormat="1" ht="60" x14ac:dyDescent="0.25">
      <c r="A186" s="278" t="s">
        <v>504</v>
      </c>
      <c r="B186" s="83">
        <v>45002</v>
      </c>
      <c r="C186" s="83">
        <v>45002</v>
      </c>
      <c r="D186" s="82" t="s">
        <v>455</v>
      </c>
      <c r="E186" s="123" t="s">
        <v>585</v>
      </c>
      <c r="F186" s="82" t="s">
        <v>456</v>
      </c>
      <c r="G186" s="110" t="s">
        <v>481</v>
      </c>
      <c r="H186" s="121" t="s">
        <v>164</v>
      </c>
      <c r="I186" s="82" t="str">
        <f t="shared" si="9"/>
        <v>Приложение №131-ГРС.АС</v>
      </c>
      <c r="J186" s="138" t="s">
        <v>593</v>
      </c>
      <c r="K186" s="107" t="s">
        <v>195</v>
      </c>
      <c r="L186" s="139"/>
      <c r="M186" s="95"/>
      <c r="N186" s="276"/>
      <c r="O186" s="276"/>
      <c r="P186" s="276"/>
      <c r="Q186" s="276"/>
      <c r="R186" s="82"/>
      <c r="S186" s="82"/>
    </row>
    <row r="187" spans="1:19" s="126" customFormat="1" ht="75" x14ac:dyDescent="0.25">
      <c r="A187" s="146" t="s">
        <v>540</v>
      </c>
      <c r="B187" s="83">
        <v>45002</v>
      </c>
      <c r="C187" s="83">
        <v>45002</v>
      </c>
      <c r="D187" s="82" t="s">
        <v>170</v>
      </c>
      <c r="E187" s="123" t="s">
        <v>534</v>
      </c>
      <c r="F187" s="82" t="s">
        <v>535</v>
      </c>
      <c r="G187" s="110" t="s">
        <v>222</v>
      </c>
      <c r="H187" s="121" t="s">
        <v>487</v>
      </c>
      <c r="I187" s="82" t="str">
        <f t="shared" si="9"/>
        <v>Приложение №131.1-ГРС.АС</v>
      </c>
      <c r="J187" s="107" t="s">
        <v>182</v>
      </c>
      <c r="K187" s="107" t="s">
        <v>195</v>
      </c>
      <c r="L187" s="125"/>
      <c r="M187" s="83"/>
      <c r="N187" s="82"/>
      <c r="O187" s="82"/>
      <c r="P187" s="82"/>
      <c r="Q187" s="82"/>
      <c r="R187" s="125"/>
      <c r="S187" s="82"/>
    </row>
    <row r="188" spans="1:19" s="116" customFormat="1" x14ac:dyDescent="0.25">
      <c r="A188" s="82"/>
      <c r="B188" s="83"/>
      <c r="C188" s="83"/>
      <c r="D188" s="82"/>
      <c r="E188" s="123"/>
      <c r="F188" s="82"/>
      <c r="G188" s="110"/>
      <c r="H188" s="121"/>
      <c r="I188" s="82"/>
      <c r="J188" s="107"/>
      <c r="K188" s="107"/>
      <c r="L188" s="135"/>
      <c r="M188" s="127"/>
      <c r="N188" s="122"/>
      <c r="O188" s="122"/>
      <c r="P188" s="122"/>
      <c r="Q188" s="122"/>
      <c r="R188" s="135"/>
      <c r="S188" s="122"/>
    </row>
    <row r="189" spans="1:19" s="117" customFormat="1" ht="60" x14ac:dyDescent="0.25">
      <c r="A189" s="278" t="s">
        <v>505</v>
      </c>
      <c r="B189" s="83">
        <v>45003</v>
      </c>
      <c r="C189" s="83">
        <v>45003</v>
      </c>
      <c r="D189" s="82" t="s">
        <v>455</v>
      </c>
      <c r="E189" s="123" t="s">
        <v>586</v>
      </c>
      <c r="F189" s="82" t="s">
        <v>456</v>
      </c>
      <c r="G189" s="110" t="s">
        <v>481</v>
      </c>
      <c r="H189" s="121" t="s">
        <v>180</v>
      </c>
      <c r="I189" s="82" t="str">
        <f t="shared" si="9"/>
        <v>Приложение №132-ГРС.АС</v>
      </c>
      <c r="J189" s="138" t="s">
        <v>593</v>
      </c>
      <c r="K189" s="107" t="s">
        <v>195</v>
      </c>
      <c r="L189" s="135"/>
      <c r="M189" s="127"/>
      <c r="N189" s="122"/>
      <c r="O189" s="122"/>
      <c r="P189" s="122"/>
      <c r="Q189" s="122"/>
      <c r="R189" s="122"/>
      <c r="S189" s="122"/>
    </row>
    <row r="190" spans="1:19" s="117" customFormat="1" ht="60" x14ac:dyDescent="0.25">
      <c r="A190" s="278" t="s">
        <v>506</v>
      </c>
      <c r="B190" s="83">
        <v>45003</v>
      </c>
      <c r="C190" s="83">
        <v>45003</v>
      </c>
      <c r="D190" s="82" t="s">
        <v>455</v>
      </c>
      <c r="E190" s="123" t="s">
        <v>587</v>
      </c>
      <c r="F190" s="82" t="s">
        <v>456</v>
      </c>
      <c r="G190" s="110" t="s">
        <v>481</v>
      </c>
      <c r="H190" s="121" t="s">
        <v>180</v>
      </c>
      <c r="I190" s="82" t="str">
        <f t="shared" si="9"/>
        <v>Приложение №133-ГРС.АС</v>
      </c>
      <c r="J190" s="138" t="s">
        <v>593</v>
      </c>
      <c r="K190" s="107" t="s">
        <v>195</v>
      </c>
      <c r="L190" s="125"/>
      <c r="M190" s="83"/>
      <c r="N190" s="82"/>
      <c r="O190" s="82"/>
      <c r="P190" s="82"/>
      <c r="Q190" s="82"/>
      <c r="R190" s="82"/>
      <c r="S190" s="82"/>
    </row>
    <row r="191" spans="1:19" s="117" customFormat="1" ht="60" x14ac:dyDescent="0.25">
      <c r="A191" s="278" t="s">
        <v>508</v>
      </c>
      <c r="B191" s="83">
        <v>45003</v>
      </c>
      <c r="C191" s="83">
        <v>45003</v>
      </c>
      <c r="D191" s="82" t="s">
        <v>455</v>
      </c>
      <c r="E191" s="123" t="s">
        <v>588</v>
      </c>
      <c r="F191" s="82" t="s">
        <v>456</v>
      </c>
      <c r="G191" s="110" t="s">
        <v>481</v>
      </c>
      <c r="H191" s="121" t="s">
        <v>181</v>
      </c>
      <c r="I191" s="82" t="str">
        <f t="shared" si="9"/>
        <v>Приложение №134-ГРС.АС</v>
      </c>
      <c r="J191" s="138" t="s">
        <v>593</v>
      </c>
      <c r="K191" s="107" t="s">
        <v>195</v>
      </c>
      <c r="L191" s="139"/>
      <c r="M191" s="95"/>
      <c r="N191" s="276"/>
      <c r="O191" s="276"/>
      <c r="P191" s="276"/>
      <c r="Q191" s="276"/>
      <c r="R191" s="82"/>
      <c r="S191" s="82"/>
    </row>
    <row r="192" spans="1:19" s="115" customFormat="1" ht="60" x14ac:dyDescent="0.25">
      <c r="A192" s="146" t="s">
        <v>557</v>
      </c>
      <c r="B192" s="83">
        <v>44973</v>
      </c>
      <c r="C192" s="83">
        <v>44973</v>
      </c>
      <c r="D192" s="82" t="s">
        <v>455</v>
      </c>
      <c r="E192" s="123" t="s">
        <v>628</v>
      </c>
      <c r="F192" s="82" t="s">
        <v>456</v>
      </c>
      <c r="G192" s="110" t="s">
        <v>481</v>
      </c>
      <c r="H192" s="121" t="s">
        <v>158</v>
      </c>
      <c r="I192" s="82" t="s">
        <v>1103</v>
      </c>
      <c r="J192" s="138" t="s">
        <v>593</v>
      </c>
      <c r="K192" s="107" t="s">
        <v>195</v>
      </c>
      <c r="L192" s="125"/>
      <c r="M192" s="83"/>
      <c r="N192" s="82"/>
      <c r="O192" s="82"/>
      <c r="P192" s="82"/>
      <c r="Q192" s="82"/>
      <c r="R192" s="139"/>
      <c r="S192" s="276"/>
    </row>
    <row r="193" spans="1:19" s="117" customFormat="1" ht="60" x14ac:dyDescent="0.25">
      <c r="A193" s="278" t="s">
        <v>507</v>
      </c>
      <c r="B193" s="83">
        <v>45004</v>
      </c>
      <c r="C193" s="83">
        <v>45004</v>
      </c>
      <c r="D193" s="82" t="s">
        <v>455</v>
      </c>
      <c r="E193" s="85" t="s">
        <v>525</v>
      </c>
      <c r="F193" s="82" t="s">
        <v>456</v>
      </c>
      <c r="G193" s="82" t="s">
        <v>481</v>
      </c>
      <c r="H193" s="121" t="s">
        <v>215</v>
      </c>
      <c r="I193" s="82" t="str">
        <f t="shared" si="9"/>
        <v>Приложение №135-ГРС.АС</v>
      </c>
      <c r="J193" s="138" t="s">
        <v>593</v>
      </c>
      <c r="K193" s="107" t="s">
        <v>195</v>
      </c>
      <c r="L193" s="136"/>
      <c r="M193" s="109"/>
      <c r="N193" s="91"/>
      <c r="O193" s="91"/>
      <c r="P193" s="91"/>
      <c r="Q193" s="91"/>
      <c r="R193" s="91"/>
      <c r="S193" s="91"/>
    </row>
    <row r="194" spans="1:19" s="117" customFormat="1" ht="60" x14ac:dyDescent="0.25">
      <c r="A194" s="278" t="s">
        <v>513</v>
      </c>
      <c r="B194" s="83">
        <v>45004</v>
      </c>
      <c r="C194" s="83">
        <v>45004</v>
      </c>
      <c r="D194" s="82" t="s">
        <v>516</v>
      </c>
      <c r="E194" s="85" t="s">
        <v>517</v>
      </c>
      <c r="F194" s="82" t="s">
        <v>595</v>
      </c>
      <c r="G194" s="82" t="s">
        <v>579</v>
      </c>
      <c r="H194" s="121" t="s">
        <v>208</v>
      </c>
      <c r="I194" s="82" t="str">
        <f>CONCATENATE("Приложение"," ","№", A194,", протокол испытаний №1-Фом8")</f>
        <v>Приложение №138-ГРС.АС, протокол испытаний №1-Фом8</v>
      </c>
      <c r="J194" s="107" t="s">
        <v>182</v>
      </c>
      <c r="K194" s="107" t="s">
        <v>578</v>
      </c>
      <c r="L194" s="125"/>
      <c r="M194" s="83"/>
      <c r="N194" s="82"/>
      <c r="O194" s="82"/>
      <c r="P194" s="82"/>
      <c r="Q194" s="82"/>
      <c r="R194" s="135"/>
      <c r="S194" s="122"/>
    </row>
    <row r="195" spans="1:19" s="117" customFormat="1" ht="60" x14ac:dyDescent="0.25">
      <c r="A195" s="278" t="s">
        <v>514</v>
      </c>
      <c r="B195" s="83">
        <v>45004</v>
      </c>
      <c r="C195" s="83">
        <v>45004</v>
      </c>
      <c r="D195" s="82" t="s">
        <v>516</v>
      </c>
      <c r="E195" s="85" t="s">
        <v>518</v>
      </c>
      <c r="F195" s="82" t="s">
        <v>595</v>
      </c>
      <c r="G195" s="82" t="s">
        <v>579</v>
      </c>
      <c r="H195" s="121" t="s">
        <v>164</v>
      </c>
      <c r="I195" s="82" t="str">
        <f>CONCATENATE("Приложение"," ","№", A195,", протокол испытаний №1-Фом9")</f>
        <v>Приложение №139-ГРС.АС, протокол испытаний №1-Фом9</v>
      </c>
      <c r="J195" s="107" t="s">
        <v>182</v>
      </c>
      <c r="K195" s="107" t="s">
        <v>578</v>
      </c>
      <c r="L195" s="135"/>
      <c r="M195" s="127"/>
      <c r="N195" s="122"/>
      <c r="O195" s="122"/>
      <c r="P195" s="122"/>
      <c r="Q195" s="122"/>
      <c r="R195" s="82"/>
      <c r="S195" s="82"/>
    </row>
    <row r="196" spans="1:19" s="119" customFormat="1" ht="90" x14ac:dyDescent="0.25">
      <c r="A196" s="278" t="s">
        <v>515</v>
      </c>
      <c r="B196" s="83">
        <v>45004</v>
      </c>
      <c r="C196" s="83">
        <v>45004</v>
      </c>
      <c r="D196" s="82" t="s">
        <v>516</v>
      </c>
      <c r="E196" s="85" t="s">
        <v>519</v>
      </c>
      <c r="F196" s="82" t="s">
        <v>595</v>
      </c>
      <c r="G196" s="82" t="s">
        <v>579</v>
      </c>
      <c r="H196" s="121" t="s">
        <v>158</v>
      </c>
      <c r="I196" s="82" t="str">
        <f>CONCATENATE("Приложение"," ","№", A194,", протокол испытаний №1-Фом15,2-Фом15,3-Фом15,4-Фом15,5-Фом15,6-Фом15, 7-Фом15")</f>
        <v>Приложение №138-ГРС.АС, протокол испытаний №1-Фом15,2-Фом15,3-Фом15,4-Фом15,5-Фом15,6-Фом15, 7-Фом15</v>
      </c>
      <c r="J196" s="107" t="s">
        <v>182</v>
      </c>
      <c r="K196" s="107" t="s">
        <v>578</v>
      </c>
      <c r="L196" s="125"/>
      <c r="M196" s="83"/>
      <c r="N196" s="82"/>
      <c r="O196" s="82"/>
      <c r="P196" s="82"/>
      <c r="Q196" s="82"/>
      <c r="R196" s="82"/>
      <c r="S196" s="82"/>
    </row>
    <row r="197" spans="1:19" s="117" customFormat="1" ht="75" x14ac:dyDescent="0.25">
      <c r="A197" s="278" t="s">
        <v>520</v>
      </c>
      <c r="B197" s="83">
        <v>45004</v>
      </c>
      <c r="C197" s="83">
        <v>45004</v>
      </c>
      <c r="D197" s="82" t="s">
        <v>516</v>
      </c>
      <c r="E197" s="85" t="s">
        <v>522</v>
      </c>
      <c r="F197" s="82" t="s">
        <v>595</v>
      </c>
      <c r="G197" s="82" t="s">
        <v>579</v>
      </c>
      <c r="H197" s="121" t="s">
        <v>215</v>
      </c>
      <c r="I197" s="82" t="str">
        <f>CONCATENATE("Приложение"," ","№", A194,", протокол испытаний №1-Фм9, 2-Фм9, 3-Фм9, 4-Фм9, 5-Фм9, 6-Фм9, 7-Фм9")</f>
        <v>Приложение №138-ГРС.АС, протокол испытаний №1-Фм9, 2-Фм9, 3-Фм9, 4-Фм9, 5-Фм9, 6-Фм9, 7-Фм9</v>
      </c>
      <c r="J197" s="107" t="s">
        <v>182</v>
      </c>
      <c r="K197" s="107" t="s">
        <v>578</v>
      </c>
      <c r="L197" s="136"/>
      <c r="M197" s="109"/>
      <c r="N197" s="91"/>
      <c r="O197" s="91"/>
      <c r="P197" s="91"/>
      <c r="Q197" s="91"/>
      <c r="R197" s="122"/>
      <c r="S197" s="122"/>
    </row>
    <row r="198" spans="1:19" s="119" customFormat="1" ht="90" x14ac:dyDescent="0.25">
      <c r="A198" s="278" t="s">
        <v>521</v>
      </c>
      <c r="B198" s="83">
        <v>45004</v>
      </c>
      <c r="C198" s="83">
        <v>45004</v>
      </c>
      <c r="D198" s="82" t="s">
        <v>516</v>
      </c>
      <c r="E198" s="85" t="s">
        <v>523</v>
      </c>
      <c r="F198" s="82" t="s">
        <v>595</v>
      </c>
      <c r="G198" s="82" t="s">
        <v>579</v>
      </c>
      <c r="H198" s="121" t="s">
        <v>215</v>
      </c>
      <c r="I198" s="82" t="str">
        <f>CONCATENATE("Приложение"," ","№", A194,", протокол испытаний 1-Фм10, 2-Фм10, 3-Фм10, 4-Фм10, 5-Фм10, 6-Фм10, 7-Фм10")</f>
        <v>Приложение №138-ГРС.АС, протокол испытаний 1-Фм10, 2-Фм10, 3-Фм10, 4-Фм10, 5-Фм10, 6-Фм10, 7-Фм10</v>
      </c>
      <c r="J198" s="107" t="s">
        <v>182</v>
      </c>
      <c r="K198" s="107" t="s">
        <v>578</v>
      </c>
      <c r="L198" s="125"/>
      <c r="M198" s="83"/>
      <c r="N198" s="82"/>
      <c r="O198" s="82"/>
      <c r="P198" s="82"/>
      <c r="Q198" s="82"/>
      <c r="R198" s="125"/>
      <c r="S198" s="82"/>
    </row>
    <row r="199" spans="1:19" s="116" customFormat="1" ht="60" x14ac:dyDescent="0.25">
      <c r="A199" s="156" t="s">
        <v>536</v>
      </c>
      <c r="B199" s="95">
        <v>45005</v>
      </c>
      <c r="C199" s="95">
        <v>45012</v>
      </c>
      <c r="D199" s="276" t="s">
        <v>172</v>
      </c>
      <c r="E199" s="157" t="s">
        <v>537</v>
      </c>
      <c r="F199" s="276" t="s">
        <v>171</v>
      </c>
      <c r="G199" s="276" t="s">
        <v>592</v>
      </c>
      <c r="H199" s="159" t="s">
        <v>157</v>
      </c>
      <c r="I199" s="276" t="str">
        <f>CONCATENATE("Приложение"," ","№", A199,", ","протокол испытания 1Ф-ФОМ17-1 от 27.03.2023г")</f>
        <v>Приложение №149-ГРС.АС, протокол испытания 1Ф-ФОМ17-1 от 27.03.2023г</v>
      </c>
      <c r="J199" s="162" t="s">
        <v>182</v>
      </c>
      <c r="K199" s="107"/>
      <c r="L199" s="139"/>
      <c r="M199" s="95"/>
      <c r="N199" s="276"/>
      <c r="O199" s="276"/>
      <c r="P199" s="276"/>
      <c r="Q199" s="276"/>
      <c r="R199" s="82"/>
      <c r="S199" s="82"/>
    </row>
    <row r="200" spans="1:19" s="113" customFormat="1" ht="75" x14ac:dyDescent="0.25">
      <c r="A200" s="256" t="s">
        <v>1130</v>
      </c>
      <c r="B200" s="83">
        <v>45010</v>
      </c>
      <c r="C200" s="83">
        <v>45017</v>
      </c>
      <c r="D200" s="82" t="s">
        <v>531</v>
      </c>
      <c r="E200" s="85" t="s">
        <v>563</v>
      </c>
      <c r="F200" s="82" t="s">
        <v>192</v>
      </c>
      <c r="G200" s="82" t="s">
        <v>623</v>
      </c>
      <c r="H200" s="121" t="s">
        <v>157</v>
      </c>
      <c r="I200" s="82" t="s">
        <v>1131</v>
      </c>
      <c r="J200" s="107" t="s">
        <v>182</v>
      </c>
      <c r="K200" s="261" t="s">
        <v>195</v>
      </c>
      <c r="L200" s="135"/>
      <c r="M200" s="127"/>
      <c r="N200" s="122"/>
      <c r="O200" s="122"/>
      <c r="P200" s="122"/>
      <c r="Q200" s="122"/>
      <c r="R200" s="82"/>
      <c r="S200" s="82"/>
    </row>
    <row r="201" spans="1:19" s="128" customFormat="1" ht="62.45" customHeight="1" x14ac:dyDescent="0.25">
      <c r="A201" s="258" t="s">
        <v>1132</v>
      </c>
      <c r="B201" s="95">
        <v>45018</v>
      </c>
      <c r="C201" s="95">
        <v>45018</v>
      </c>
      <c r="D201" s="276" t="s">
        <v>455</v>
      </c>
      <c r="E201" s="191" t="s">
        <v>1133</v>
      </c>
      <c r="F201" s="276" t="s">
        <v>456</v>
      </c>
      <c r="G201" s="192" t="s">
        <v>481</v>
      </c>
      <c r="H201" s="159" t="s">
        <v>157</v>
      </c>
      <c r="I201" s="276" t="s">
        <v>1134</v>
      </c>
      <c r="J201" s="160" t="s">
        <v>593</v>
      </c>
      <c r="K201" s="261"/>
      <c r="L201" s="135"/>
      <c r="M201" s="127"/>
      <c r="N201" s="122"/>
      <c r="O201" s="122"/>
      <c r="P201" s="122"/>
      <c r="Q201" s="122"/>
      <c r="R201" s="122"/>
      <c r="S201" s="122"/>
    </row>
    <row r="202" spans="1:19" s="115" customFormat="1" ht="99" customHeight="1" x14ac:dyDescent="0.25">
      <c r="A202" s="146" t="s">
        <v>1120</v>
      </c>
      <c r="B202" s="83">
        <v>45023</v>
      </c>
      <c r="C202" s="83">
        <v>45023</v>
      </c>
      <c r="D202" s="82" t="s">
        <v>516</v>
      </c>
      <c r="E202" s="85" t="s">
        <v>1135</v>
      </c>
      <c r="F202" s="82" t="s">
        <v>595</v>
      </c>
      <c r="G202" s="82" t="s">
        <v>1136</v>
      </c>
      <c r="H202" s="121" t="s">
        <v>157</v>
      </c>
      <c r="I202" s="82" t="s">
        <v>1206</v>
      </c>
      <c r="J202" s="107" t="s">
        <v>182</v>
      </c>
      <c r="K202" s="261"/>
      <c r="L202" s="136"/>
      <c r="M202" s="109"/>
      <c r="N202" s="91"/>
      <c r="O202" s="91"/>
      <c r="P202" s="91"/>
      <c r="Q202" s="91"/>
      <c r="R202" s="82"/>
      <c r="S202" s="82"/>
    </row>
    <row r="203" spans="1:19" s="116" customFormat="1" ht="65.45" customHeight="1" x14ac:dyDescent="0.25">
      <c r="A203" s="260" t="s">
        <v>1124</v>
      </c>
      <c r="B203" s="109">
        <v>45023</v>
      </c>
      <c r="C203" s="109">
        <v>45023</v>
      </c>
      <c r="D203" s="122" t="s">
        <v>831</v>
      </c>
      <c r="E203" s="122" t="s">
        <v>1126</v>
      </c>
      <c r="F203" s="259" t="s">
        <v>195</v>
      </c>
      <c r="G203" s="259" t="s">
        <v>833</v>
      </c>
      <c r="H203" s="122" t="s">
        <v>157</v>
      </c>
      <c r="I203" s="142" t="s">
        <v>1128</v>
      </c>
      <c r="J203" s="122" t="s">
        <v>593</v>
      </c>
      <c r="K203" s="155"/>
      <c r="L203" s="139"/>
      <c r="M203" s="95"/>
      <c r="N203" s="276"/>
      <c r="O203" s="276"/>
      <c r="P203" s="276"/>
      <c r="Q203" s="276"/>
      <c r="R203" s="82"/>
      <c r="S203" s="82"/>
    </row>
    <row r="204" spans="1:19" s="116" customFormat="1" ht="63" customHeight="1" x14ac:dyDescent="0.25">
      <c r="A204" s="256" t="s">
        <v>1125</v>
      </c>
      <c r="B204" s="83">
        <v>45023</v>
      </c>
      <c r="C204" s="83">
        <v>45023</v>
      </c>
      <c r="D204" s="82" t="s">
        <v>831</v>
      </c>
      <c r="E204" s="82" t="s">
        <v>1127</v>
      </c>
      <c r="F204" s="92" t="s">
        <v>195</v>
      </c>
      <c r="G204" s="92" t="s">
        <v>833</v>
      </c>
      <c r="H204" s="82" t="s">
        <v>157</v>
      </c>
      <c r="I204" s="110" t="s">
        <v>1129</v>
      </c>
      <c r="J204" s="82" t="s">
        <v>593</v>
      </c>
      <c r="K204" s="155"/>
      <c r="L204" s="139"/>
      <c r="M204" s="95"/>
      <c r="N204" s="276"/>
      <c r="O204" s="276"/>
      <c r="P204" s="276"/>
      <c r="Q204" s="276"/>
      <c r="R204" s="82"/>
      <c r="S204" s="82"/>
    </row>
    <row r="205" spans="1:19" s="129" customFormat="1" ht="112.5" customHeight="1" x14ac:dyDescent="0.25">
      <c r="A205" s="168" t="s">
        <v>528</v>
      </c>
      <c r="B205" s="127">
        <v>45005</v>
      </c>
      <c r="C205" s="127">
        <v>45006</v>
      </c>
      <c r="D205" s="122" t="s">
        <v>596</v>
      </c>
      <c r="E205" s="164" t="s">
        <v>630</v>
      </c>
      <c r="F205" s="122" t="s">
        <v>160</v>
      </c>
      <c r="G205" s="165" t="s">
        <v>358</v>
      </c>
      <c r="H205" s="171" t="s">
        <v>417</v>
      </c>
      <c r="I205" s="122" t="str">
        <f>CONCATENATE("Приложение"," ","№", A205,)</f>
        <v>Приложение №151-ГРС.АС</v>
      </c>
      <c r="J205" s="161" t="s">
        <v>151</v>
      </c>
      <c r="K205" s="107" t="s">
        <v>524</v>
      </c>
      <c r="L205" s="125"/>
      <c r="M205" s="83"/>
      <c r="N205" s="82"/>
      <c r="O205" s="82"/>
      <c r="P205" s="82"/>
      <c r="Q205" s="82"/>
      <c r="R205" s="82"/>
      <c r="S205" s="82"/>
    </row>
    <row r="206" spans="1:19" s="126" customFormat="1" ht="51" customHeight="1" x14ac:dyDescent="0.25">
      <c r="A206" s="82" t="s">
        <v>538</v>
      </c>
      <c r="B206" s="83">
        <v>45006</v>
      </c>
      <c r="C206" s="83">
        <v>45013</v>
      </c>
      <c r="D206" s="82" t="s">
        <v>531</v>
      </c>
      <c r="E206" s="85" t="s">
        <v>599</v>
      </c>
      <c r="F206" s="82" t="s">
        <v>192</v>
      </c>
      <c r="G206" s="120" t="s">
        <v>577</v>
      </c>
      <c r="H206" s="121" t="s">
        <v>266</v>
      </c>
      <c r="I206" s="82" t="str">
        <f>CONCATENATE("Приложение"," ","№", A206,", ","протокол испытания 2Ф-РМ1 от 28.03.2023г")</f>
        <v>Приложение №152-ГРС.АС, протокол испытания 2Ф-РМ1 от 28.03.2023г</v>
      </c>
      <c r="J206" s="107" t="s">
        <v>182</v>
      </c>
      <c r="K206" s="107"/>
      <c r="L206" s="135"/>
      <c r="M206" s="127"/>
      <c r="N206" s="122"/>
      <c r="O206" s="122"/>
      <c r="P206" s="122"/>
      <c r="Q206" s="122"/>
      <c r="R206" s="122"/>
      <c r="S206" s="122"/>
    </row>
    <row r="207" spans="1:19" s="116" customFormat="1" ht="60" x14ac:dyDescent="0.25">
      <c r="A207" s="82" t="s">
        <v>530</v>
      </c>
      <c r="B207" s="83">
        <v>45007</v>
      </c>
      <c r="C207" s="83">
        <v>45014</v>
      </c>
      <c r="D207" s="82" t="s">
        <v>597</v>
      </c>
      <c r="E207" s="85" t="s">
        <v>598</v>
      </c>
      <c r="F207" s="82" t="s">
        <v>192</v>
      </c>
      <c r="G207" s="120" t="s">
        <v>576</v>
      </c>
      <c r="H207" s="121" t="s">
        <v>417</v>
      </c>
      <c r="I207" s="82" t="str">
        <f>CONCATENATE("Приложение"," ","№", A207,", ","протокол испытания 2Ф-ФМ1 от 29.03.2023г")</f>
        <v>Приложение №154-ГРС.АС, протокол испытания 2Ф-ФМ1 от 29.03.2023г</v>
      </c>
      <c r="J207" s="107" t="s">
        <v>182</v>
      </c>
      <c r="K207" s="107" t="s">
        <v>195</v>
      </c>
      <c r="L207" s="135"/>
      <c r="M207" s="127"/>
      <c r="N207" s="122"/>
      <c r="O207" s="122"/>
      <c r="P207" s="122"/>
      <c r="Q207" s="122"/>
      <c r="R207" s="122"/>
      <c r="S207" s="122"/>
    </row>
    <row r="208" spans="1:19" s="113" customFormat="1" ht="60" x14ac:dyDescent="0.25">
      <c r="A208" s="146" t="s">
        <v>539</v>
      </c>
      <c r="B208" s="83">
        <v>45007</v>
      </c>
      <c r="C208" s="83">
        <v>45014</v>
      </c>
      <c r="D208" s="82" t="s">
        <v>531</v>
      </c>
      <c r="E208" s="85" t="s">
        <v>555</v>
      </c>
      <c r="F208" s="82" t="s">
        <v>192</v>
      </c>
      <c r="G208" s="120" t="s">
        <v>624</v>
      </c>
      <c r="H208" s="121" t="s">
        <v>487</v>
      </c>
      <c r="I208" s="82" t="str">
        <f>CONCATENATE("Приложение"," ","№", A208,", ","протокол испытания 2Ф-ФОМ13 от 29.03.2023г")</f>
        <v>Приложение №160-ГРС.АС, протокол испытания 2Ф-ФОМ13 от 29.03.2023г</v>
      </c>
      <c r="J208" s="107" t="s">
        <v>182</v>
      </c>
      <c r="K208" s="107" t="s">
        <v>195</v>
      </c>
      <c r="L208" s="125"/>
      <c r="M208" s="83"/>
      <c r="N208" s="82"/>
      <c r="O208" s="82"/>
      <c r="P208" s="82"/>
      <c r="Q208" s="82"/>
      <c r="R208" s="82"/>
      <c r="S208" s="82"/>
    </row>
    <row r="209" spans="1:19" s="115" customFormat="1" ht="117.75" customHeight="1" x14ac:dyDescent="0.25">
      <c r="A209" s="279" t="s">
        <v>560</v>
      </c>
      <c r="B209" s="95">
        <v>45006</v>
      </c>
      <c r="C209" s="95">
        <v>45008</v>
      </c>
      <c r="D209" s="276" t="s">
        <v>529</v>
      </c>
      <c r="E209" s="157" t="s">
        <v>561</v>
      </c>
      <c r="F209" s="276" t="s">
        <v>562</v>
      </c>
      <c r="G209" s="158" t="s">
        <v>358</v>
      </c>
      <c r="H209" s="159" t="s">
        <v>157</v>
      </c>
      <c r="I209" s="276" t="str">
        <f>CONCATENATE("Приложение"," ","№", A209,)</f>
        <v>Приложение №162-ГРС.АС</v>
      </c>
      <c r="J209" s="162" t="s">
        <v>151</v>
      </c>
      <c r="K209" s="107" t="s">
        <v>524</v>
      </c>
      <c r="L209" s="82"/>
      <c r="M209" s="83"/>
      <c r="N209" s="82"/>
      <c r="O209" s="91"/>
      <c r="P209" s="91"/>
      <c r="Q209" s="91"/>
      <c r="R209" s="91"/>
      <c r="S209" s="91"/>
    </row>
    <row r="210" spans="1:19" s="128" customFormat="1" ht="62.45" customHeight="1" x14ac:dyDescent="0.25">
      <c r="A210" s="256" t="s">
        <v>1132</v>
      </c>
      <c r="B210" s="83">
        <v>45018</v>
      </c>
      <c r="C210" s="83">
        <v>45018</v>
      </c>
      <c r="D210" s="82" t="s">
        <v>455</v>
      </c>
      <c r="E210" s="123" t="s">
        <v>1133</v>
      </c>
      <c r="F210" s="82" t="s">
        <v>456</v>
      </c>
      <c r="G210" s="110" t="s">
        <v>481</v>
      </c>
      <c r="H210" s="121" t="s">
        <v>487</v>
      </c>
      <c r="I210" s="82" t="s">
        <v>1134</v>
      </c>
      <c r="J210" s="138" t="s">
        <v>593</v>
      </c>
      <c r="K210" s="261"/>
      <c r="L210" s="135"/>
      <c r="M210" s="127"/>
      <c r="N210" s="122"/>
      <c r="O210" s="122"/>
      <c r="P210" s="122"/>
      <c r="Q210" s="122"/>
      <c r="R210" s="122"/>
      <c r="S210" s="122"/>
    </row>
    <row r="211" spans="1:19" s="128" customFormat="1" ht="60" x14ac:dyDescent="0.25">
      <c r="A211" s="213" t="s">
        <v>547</v>
      </c>
      <c r="B211" s="127">
        <v>45010</v>
      </c>
      <c r="C211" s="127">
        <v>45017</v>
      </c>
      <c r="D211" s="122" t="s">
        <v>531</v>
      </c>
      <c r="E211" s="164" t="s">
        <v>548</v>
      </c>
      <c r="F211" s="122" t="s">
        <v>192</v>
      </c>
      <c r="G211" s="122" t="s">
        <v>623</v>
      </c>
      <c r="H211" s="171" t="s">
        <v>415</v>
      </c>
      <c r="I211" s="122" t="str">
        <f>CONCATENATE("Приложение"," ","№", A211,", ","протокол испытания 2Ф-ФОМ11 от 1.04.2023г")</f>
        <v>Приложение №164-ГРС.АС, протокол испытания 2Ф-ФОМ11 от 1.04.2023г</v>
      </c>
      <c r="J211" s="161" t="s">
        <v>182</v>
      </c>
      <c r="K211" s="107" t="s">
        <v>195</v>
      </c>
      <c r="L211" s="135"/>
      <c r="M211" s="127"/>
      <c r="N211" s="122"/>
      <c r="O211" s="122"/>
      <c r="P211" s="122"/>
      <c r="Q211" s="122"/>
      <c r="R211" s="122"/>
      <c r="S211" s="122"/>
    </row>
    <row r="212" spans="1:19" s="82" customFormat="1" ht="60" x14ac:dyDescent="0.25">
      <c r="A212" s="146" t="s">
        <v>558</v>
      </c>
      <c r="B212" s="83">
        <v>45010</v>
      </c>
      <c r="C212" s="83">
        <v>45010</v>
      </c>
      <c r="D212" s="82" t="s">
        <v>455</v>
      </c>
      <c r="E212" s="123" t="s">
        <v>559</v>
      </c>
      <c r="F212" s="82" t="s">
        <v>456</v>
      </c>
      <c r="G212" s="110" t="s">
        <v>481</v>
      </c>
      <c r="H212" s="121" t="s">
        <v>158</v>
      </c>
      <c r="I212" s="82" t="str">
        <f>CONCATENATE("Приложение"," ","№", A212,)</f>
        <v>Приложение №165-ГРС.АС</v>
      </c>
      <c r="J212" s="138" t="s">
        <v>593</v>
      </c>
      <c r="K212" s="107" t="s">
        <v>195</v>
      </c>
      <c r="L212" s="125"/>
      <c r="M212" s="83"/>
    </row>
    <row r="213" spans="1:19" s="113" customFormat="1" ht="60" x14ac:dyDescent="0.25">
      <c r="A213" s="278" t="s">
        <v>556</v>
      </c>
      <c r="B213" s="83">
        <v>45011</v>
      </c>
      <c r="C213" s="83">
        <v>45011</v>
      </c>
      <c r="D213" s="82" t="s">
        <v>455</v>
      </c>
      <c r="E213" s="123" t="s">
        <v>590</v>
      </c>
      <c r="F213" s="82" t="s">
        <v>456</v>
      </c>
      <c r="G213" s="110" t="s">
        <v>481</v>
      </c>
      <c r="H213" s="121" t="s">
        <v>487</v>
      </c>
      <c r="I213" s="82" t="str">
        <f>CONCATENATE("Приложение"," ","№", A213,)</f>
        <v>Приложение №166-ГРС.АС</v>
      </c>
      <c r="J213" s="138" t="s">
        <v>593</v>
      </c>
      <c r="K213" s="107" t="s">
        <v>195</v>
      </c>
      <c r="L213" s="125"/>
      <c r="M213" s="83"/>
      <c r="N213" s="82"/>
      <c r="O213" s="82"/>
      <c r="P213" s="82"/>
      <c r="Q213" s="82"/>
      <c r="R213" s="82"/>
      <c r="S213" s="82"/>
    </row>
    <row r="214" spans="1:19" s="84" customFormat="1" ht="60" x14ac:dyDescent="0.25">
      <c r="A214" s="146" t="s">
        <v>600</v>
      </c>
      <c r="B214" s="83">
        <v>45012</v>
      </c>
      <c r="C214" s="83">
        <v>45012</v>
      </c>
      <c r="D214" s="82" t="s">
        <v>455</v>
      </c>
      <c r="E214" s="123" t="s">
        <v>610</v>
      </c>
      <c r="F214" s="82" t="s">
        <v>456</v>
      </c>
      <c r="G214" s="110" t="s">
        <v>481</v>
      </c>
      <c r="H214" s="121" t="s">
        <v>417</v>
      </c>
      <c r="I214" s="82" t="str">
        <f>CONCATENATE("Приложение"," ","№", A214,)</f>
        <v>Приложение №167-ГРС.АС</v>
      </c>
      <c r="J214" s="138" t="s">
        <v>593</v>
      </c>
      <c r="K214" s="107" t="s">
        <v>195</v>
      </c>
      <c r="L214" s="135"/>
      <c r="M214" s="127"/>
      <c r="N214" s="122"/>
      <c r="O214" s="122"/>
      <c r="P214" s="122"/>
      <c r="Q214" s="122"/>
      <c r="R214" s="122"/>
      <c r="S214" s="122"/>
    </row>
    <row r="215" spans="1:19" s="84" customFormat="1" ht="60" x14ac:dyDescent="0.25">
      <c r="A215" s="276" t="s">
        <v>601</v>
      </c>
      <c r="B215" s="95">
        <v>45012</v>
      </c>
      <c r="C215" s="95">
        <v>45012</v>
      </c>
      <c r="D215" s="276" t="s">
        <v>455</v>
      </c>
      <c r="E215" s="191" t="s">
        <v>611</v>
      </c>
      <c r="F215" s="276" t="s">
        <v>456</v>
      </c>
      <c r="G215" s="192" t="s">
        <v>481</v>
      </c>
      <c r="H215" s="159" t="s">
        <v>417</v>
      </c>
      <c r="I215" s="276" t="str">
        <f>CONCATENATE("Приложение"," ","№", A215,)</f>
        <v>Приложение №168-ГРС.АС</v>
      </c>
      <c r="J215" s="160" t="s">
        <v>593</v>
      </c>
      <c r="K215" s="107" t="s">
        <v>195</v>
      </c>
      <c r="L215" s="139"/>
      <c r="M215" s="95"/>
      <c r="N215" s="276"/>
      <c r="O215" s="276"/>
      <c r="P215" s="276"/>
      <c r="Q215" s="276"/>
      <c r="R215" s="82"/>
      <c r="S215" s="82"/>
    </row>
    <row r="216" spans="1:19" s="124" customFormat="1" ht="114.75" x14ac:dyDescent="0.25">
      <c r="A216" s="146" t="s">
        <v>602</v>
      </c>
      <c r="B216" s="83">
        <v>45013</v>
      </c>
      <c r="C216" s="83">
        <v>45013</v>
      </c>
      <c r="D216" s="82" t="s">
        <v>171</v>
      </c>
      <c r="E216" s="85" t="s">
        <v>603</v>
      </c>
      <c r="F216" s="82" t="s">
        <v>626</v>
      </c>
      <c r="G216" s="120" t="s">
        <v>353</v>
      </c>
      <c r="H216" s="121" t="s">
        <v>487</v>
      </c>
      <c r="I216" s="82" t="str">
        <f>CONCATENATE("Приложение"," ","№", A216,)</f>
        <v>Приложение №169-ГРС.АС</v>
      </c>
      <c r="J216" s="138" t="s">
        <v>593</v>
      </c>
      <c r="K216" s="155" t="s">
        <v>524</v>
      </c>
      <c r="L216" s="125"/>
      <c r="M216" s="83"/>
      <c r="N216" s="82"/>
      <c r="O216" s="82"/>
      <c r="P216" s="82"/>
      <c r="Q216" s="82"/>
      <c r="R216" s="125"/>
      <c r="S216" s="82"/>
    </row>
    <row r="217" spans="1:19" s="182" customFormat="1" ht="60" x14ac:dyDescent="0.25">
      <c r="A217" s="211" t="s">
        <v>604</v>
      </c>
      <c r="B217" s="180">
        <v>45014</v>
      </c>
      <c r="C217" s="180">
        <v>45015</v>
      </c>
      <c r="D217" s="181" t="s">
        <v>531</v>
      </c>
      <c r="E217" s="186" t="s">
        <v>607</v>
      </c>
      <c r="F217" s="181" t="s">
        <v>192</v>
      </c>
      <c r="G217" s="181" t="s">
        <v>614</v>
      </c>
      <c r="H217" s="187" t="s">
        <v>487</v>
      </c>
      <c r="I217" s="181" t="str">
        <f>CONCATENATE("Приложение"," ","№", A217,", ","протокол испытания 2Ф-ФОМ14 от 5.04.2023г")</f>
        <v>Приложение №170-ГРС.АС, протокол испытания 2Ф-ФОМ14 от 5.04.2023г</v>
      </c>
      <c r="J217" s="198" t="s">
        <v>593</v>
      </c>
      <c r="K217" s="175" t="s">
        <v>195</v>
      </c>
      <c r="L217" s="195" t="str">
        <f>A217</f>
        <v>170-ГРС.АС</v>
      </c>
      <c r="M217" s="179">
        <f>B217</f>
        <v>45014</v>
      </c>
      <c r="N217" s="173" t="s">
        <v>574</v>
      </c>
      <c r="O217" s="173" t="s">
        <v>680</v>
      </c>
      <c r="P217" s="173" t="s">
        <v>681</v>
      </c>
      <c r="Q217" s="173" t="s">
        <v>575</v>
      </c>
      <c r="R217" s="173" t="s">
        <v>682</v>
      </c>
      <c r="S217" s="181"/>
    </row>
    <row r="218" spans="1:19" s="178" customFormat="1" ht="60" x14ac:dyDescent="0.25">
      <c r="A218" s="146" t="s">
        <v>605</v>
      </c>
      <c r="B218" s="177">
        <v>45014</v>
      </c>
      <c r="C218" s="177">
        <v>45015</v>
      </c>
      <c r="D218" s="178" t="s">
        <v>531</v>
      </c>
      <c r="E218" s="183" t="s">
        <v>608</v>
      </c>
      <c r="F218" s="178" t="s">
        <v>192</v>
      </c>
      <c r="G218" s="178" t="s">
        <v>614</v>
      </c>
      <c r="H218" s="184" t="s">
        <v>208</v>
      </c>
      <c r="I218" s="178" t="str">
        <f>CONCATENATE("Приложение"," ","№", A218,", ","протокол испытания 2Ф-ФОМ6 от 5.04.2023г")</f>
        <v>Приложение №171-ГРС.АС, протокол испытания 2Ф-ФОМ6 от 5.04.2023г</v>
      </c>
      <c r="J218" s="196" t="s">
        <v>593</v>
      </c>
      <c r="K218" s="185" t="s">
        <v>195</v>
      </c>
      <c r="L218" s="197"/>
      <c r="M218" s="174"/>
      <c r="N218" s="173"/>
      <c r="O218" s="173"/>
      <c r="P218" s="173"/>
      <c r="Q218" s="173"/>
    </row>
    <row r="219" spans="1:19" s="82" customFormat="1" ht="114.75" x14ac:dyDescent="0.25">
      <c r="A219" s="211" t="s">
        <v>606</v>
      </c>
      <c r="B219" s="109">
        <v>45014</v>
      </c>
      <c r="C219" s="109">
        <v>45014</v>
      </c>
      <c r="D219" s="91" t="s">
        <v>529</v>
      </c>
      <c r="E219" s="190" t="s">
        <v>609</v>
      </c>
      <c r="F219" s="91" t="s">
        <v>531</v>
      </c>
      <c r="G219" s="199" t="s">
        <v>353</v>
      </c>
      <c r="H219" s="194" t="s">
        <v>208</v>
      </c>
      <c r="I219" s="91" t="str">
        <f>CONCATENATE("Приложение"," ","№", A219,)</f>
        <v>Приложение №172-ГРС.АС</v>
      </c>
      <c r="J219" s="200" t="s">
        <v>593</v>
      </c>
      <c r="K219" s="107" t="s">
        <v>524</v>
      </c>
      <c r="L219" s="125"/>
      <c r="M219" s="83"/>
      <c r="R219" s="125"/>
    </row>
    <row r="220" spans="1:19" s="82" customFormat="1" ht="60" x14ac:dyDescent="0.25">
      <c r="A220" s="112" t="s">
        <v>631</v>
      </c>
      <c r="B220" s="95">
        <v>45015</v>
      </c>
      <c r="C220" s="95">
        <v>45022</v>
      </c>
      <c r="D220" s="276" t="s">
        <v>531</v>
      </c>
      <c r="E220" s="157" t="s">
        <v>636</v>
      </c>
      <c r="F220" s="276" t="s">
        <v>192</v>
      </c>
      <c r="G220" s="112" t="s">
        <v>656</v>
      </c>
      <c r="H220" s="159" t="s">
        <v>208</v>
      </c>
      <c r="I220" s="112" t="str">
        <f>CONCATENATE("Приложение"," ","№", A220,", ","протокол №")</f>
        <v>Приложение №173-ГРС.АС, протокол №</v>
      </c>
      <c r="J220" s="160" t="s">
        <v>593</v>
      </c>
      <c r="K220" s="155" t="s">
        <v>195</v>
      </c>
      <c r="L220" s="135" t="s">
        <v>631</v>
      </c>
      <c r="M220" s="127">
        <v>45015</v>
      </c>
      <c r="N220" s="276" t="s">
        <v>574</v>
      </c>
      <c r="O220" s="276" t="s">
        <v>657</v>
      </c>
      <c r="P220" s="276" t="s">
        <v>658</v>
      </c>
      <c r="Q220" s="276" t="s">
        <v>575</v>
      </c>
      <c r="R220" s="276" t="s">
        <v>154</v>
      </c>
    </row>
    <row r="221" spans="1:19" s="82" customFormat="1" ht="48" x14ac:dyDescent="0.25">
      <c r="A221" s="113" t="s">
        <v>632</v>
      </c>
      <c r="B221" s="83"/>
      <c r="C221" s="83"/>
      <c r="E221" s="85"/>
      <c r="G221" s="120"/>
      <c r="H221" s="121" t="s">
        <v>666</v>
      </c>
      <c r="I221" s="113" t="str">
        <f>CONCATENATE("Приложение"," ","№", A221,)</f>
        <v>Приложение №174-ГРС.АС</v>
      </c>
      <c r="J221" s="138" t="s">
        <v>593</v>
      </c>
      <c r="K221" s="107"/>
      <c r="L221" s="125"/>
      <c r="M221" s="83"/>
    </row>
    <row r="222" spans="1:19" s="82" customFormat="1" ht="55.9" customHeight="1" x14ac:dyDescent="0.25">
      <c r="A222" s="276" t="s">
        <v>633</v>
      </c>
      <c r="B222" s="109">
        <v>45017</v>
      </c>
      <c r="C222" s="109">
        <v>45017</v>
      </c>
      <c r="D222" s="82" t="s">
        <v>455</v>
      </c>
      <c r="E222" s="123" t="s">
        <v>649</v>
      </c>
      <c r="F222" s="82" t="s">
        <v>456</v>
      </c>
      <c r="G222" s="110" t="s">
        <v>481</v>
      </c>
      <c r="H222" s="121" t="s">
        <v>415</v>
      </c>
      <c r="I222" s="82" t="s">
        <v>1102</v>
      </c>
      <c r="J222" s="138" t="s">
        <v>593</v>
      </c>
      <c r="K222" s="161" t="s">
        <v>195</v>
      </c>
      <c r="L222" s="125"/>
      <c r="M222" s="83"/>
    </row>
    <row r="223" spans="1:19" s="82" customFormat="1" ht="60" x14ac:dyDescent="0.25">
      <c r="A223" s="112" t="s">
        <v>634</v>
      </c>
      <c r="B223" s="95">
        <v>45016</v>
      </c>
      <c r="C223" s="95">
        <v>45023</v>
      </c>
      <c r="D223" s="276" t="s">
        <v>531</v>
      </c>
      <c r="E223" s="157" t="s">
        <v>637</v>
      </c>
      <c r="F223" s="276" t="s">
        <v>192</v>
      </c>
      <c r="G223" s="112" t="s">
        <v>659</v>
      </c>
      <c r="H223" s="121" t="s">
        <v>265</v>
      </c>
      <c r="I223" s="112" t="str">
        <f>CONCATENATE("Приложение"," ","№", A222,", ","протокол №")</f>
        <v>Приложение №175-ГРС.АС, протокол №</v>
      </c>
      <c r="J223" s="138" t="s">
        <v>593</v>
      </c>
      <c r="K223" s="155" t="s">
        <v>195</v>
      </c>
      <c r="L223" s="125" t="s">
        <v>634</v>
      </c>
      <c r="M223" s="83">
        <v>45016</v>
      </c>
      <c r="N223" s="82" t="s">
        <v>574</v>
      </c>
      <c r="O223" s="82" t="s">
        <v>660</v>
      </c>
      <c r="P223" s="82" t="s">
        <v>661</v>
      </c>
      <c r="Q223" s="82" t="s">
        <v>575</v>
      </c>
      <c r="R223" s="276" t="s">
        <v>154</v>
      </c>
    </row>
    <row r="224" spans="1:19" s="82" customFormat="1" ht="48" x14ac:dyDescent="0.25">
      <c r="A224" s="113" t="s">
        <v>635</v>
      </c>
      <c r="B224" s="95">
        <v>45016</v>
      </c>
      <c r="C224" s="95">
        <v>45016</v>
      </c>
      <c r="D224" s="276" t="s">
        <v>516</v>
      </c>
      <c r="E224" s="157" t="s">
        <v>686</v>
      </c>
      <c r="F224" s="276" t="s">
        <v>595</v>
      </c>
      <c r="G224" s="276" t="s">
        <v>579</v>
      </c>
      <c r="H224" s="159" t="s">
        <v>417</v>
      </c>
      <c r="I224" s="112" t="str">
        <f>CONCATENATE("Приложение"," ","№", A223,", ","протокол №")</f>
        <v>Приложение №176-ГРС.АС, протокол №</v>
      </c>
      <c r="J224" s="160" t="s">
        <v>593</v>
      </c>
      <c r="K224" s="155" t="s">
        <v>195</v>
      </c>
      <c r="L224" s="125"/>
      <c r="M224" s="83"/>
    </row>
    <row r="225" spans="1:19" s="82" customFormat="1" ht="48" x14ac:dyDescent="0.25">
      <c r="A225" s="210" t="s">
        <v>638</v>
      </c>
      <c r="B225" s="83">
        <v>45015</v>
      </c>
      <c r="C225" s="83">
        <v>45018</v>
      </c>
      <c r="D225" s="82" t="s">
        <v>516</v>
      </c>
      <c r="E225" s="85" t="s">
        <v>687</v>
      </c>
      <c r="F225" s="82" t="s">
        <v>595</v>
      </c>
      <c r="G225" s="82" t="s">
        <v>579</v>
      </c>
      <c r="H225" s="121" t="s">
        <v>158</v>
      </c>
      <c r="I225" s="113" t="str">
        <f>CONCATENATE("Приложение"," ","№", A224,", ","протокол №ФОМ16/ГРС")</f>
        <v>Приложение №177-ГРС.АС, протокол №ФОМ16/ГРС</v>
      </c>
      <c r="J225" s="138" t="s">
        <v>593</v>
      </c>
      <c r="K225" s="155" t="s">
        <v>195</v>
      </c>
      <c r="L225" s="125"/>
      <c r="M225" s="83"/>
    </row>
    <row r="226" spans="1:19" s="82" customFormat="1" ht="48" x14ac:dyDescent="0.25">
      <c r="A226" s="252" t="s">
        <v>639</v>
      </c>
      <c r="B226" s="95">
        <v>45017</v>
      </c>
      <c r="C226" s="109">
        <v>45017</v>
      </c>
      <c r="D226" s="276" t="s">
        <v>516</v>
      </c>
      <c r="E226" s="157" t="s">
        <v>688</v>
      </c>
      <c r="F226" s="276" t="s">
        <v>595</v>
      </c>
      <c r="G226" s="276" t="s">
        <v>579</v>
      </c>
      <c r="H226" s="159" t="s">
        <v>415</v>
      </c>
      <c r="I226" s="112" t="str">
        <f>CONCATENATE("Приложение"," ","№", A225,", ","протокол №ФОМ11/ГРС")</f>
        <v>Приложение №178-ГРС.АС, протокол №ФОМ11/ГРС</v>
      </c>
      <c r="J226" s="160" t="s">
        <v>593</v>
      </c>
      <c r="K226" s="107" t="s">
        <v>195</v>
      </c>
    </row>
    <row r="227" spans="1:19" s="84" customFormat="1" ht="57" customHeight="1" x14ac:dyDescent="0.25">
      <c r="A227" s="82" t="s">
        <v>1104</v>
      </c>
      <c r="B227" s="83">
        <v>45017</v>
      </c>
      <c r="C227" s="83">
        <v>45017</v>
      </c>
      <c r="D227" s="82" t="s">
        <v>831</v>
      </c>
      <c r="E227" s="82" t="s">
        <v>1105</v>
      </c>
      <c r="F227" s="92" t="s">
        <v>195</v>
      </c>
      <c r="G227" s="92" t="s">
        <v>833</v>
      </c>
      <c r="H227" s="82" t="s">
        <v>415</v>
      </c>
      <c r="I227" s="110" t="s">
        <v>1106</v>
      </c>
      <c r="J227" s="82" t="s">
        <v>593</v>
      </c>
      <c r="K227" s="155"/>
      <c r="L227" s="82"/>
      <c r="M227" s="82"/>
      <c r="N227" s="82"/>
      <c r="O227" s="82"/>
      <c r="P227" s="82"/>
      <c r="Q227" s="82"/>
      <c r="R227" s="82"/>
      <c r="S227" s="82"/>
    </row>
    <row r="228" spans="1:19" ht="48" x14ac:dyDescent="0.25">
      <c r="A228" s="168"/>
      <c r="B228" s="127">
        <v>45018</v>
      </c>
      <c r="C228" s="127"/>
      <c r="D228" s="122" t="s">
        <v>516</v>
      </c>
      <c r="E228" s="164" t="s">
        <v>689</v>
      </c>
      <c r="F228" s="122" t="s">
        <v>595</v>
      </c>
      <c r="G228" s="122"/>
      <c r="H228" s="122"/>
      <c r="I228" s="128" t="str">
        <f>CONCATENATE("Приложение"," ","№", A226,", ","протокол №")</f>
        <v>Приложение №179-ГРС.АС, протокол №</v>
      </c>
      <c r="J228" s="246" t="s">
        <v>593</v>
      </c>
      <c r="K228" s="82" t="s">
        <v>132</v>
      </c>
      <c r="L228" s="82"/>
      <c r="M228" s="82"/>
      <c r="N228" s="82"/>
      <c r="O228" s="82"/>
      <c r="P228" s="82"/>
      <c r="Q228" s="82"/>
      <c r="R228" s="82"/>
      <c r="S228" s="82"/>
    </row>
    <row r="229" spans="1:19" ht="60" x14ac:dyDescent="0.25">
      <c r="A229" s="113" t="s">
        <v>640</v>
      </c>
      <c r="B229" s="83">
        <v>45019</v>
      </c>
      <c r="C229" s="83">
        <v>45026</v>
      </c>
      <c r="D229" s="82" t="s">
        <v>531</v>
      </c>
      <c r="E229" s="82" t="s">
        <v>650</v>
      </c>
      <c r="F229" s="276" t="s">
        <v>192</v>
      </c>
      <c r="G229" s="112" t="s">
        <v>662</v>
      </c>
      <c r="H229" s="121" t="s">
        <v>266</v>
      </c>
      <c r="I229" s="113" t="str">
        <f>CONCATENATE("Приложение"," ","№", A229,", ","протокол №")</f>
        <v>Приложение №181-ГРС.АС, протокол №</v>
      </c>
      <c r="J229" s="138" t="s">
        <v>593</v>
      </c>
      <c r="K229" s="82" t="s">
        <v>132</v>
      </c>
      <c r="L229" s="82" t="s">
        <v>640</v>
      </c>
      <c r="M229" s="83">
        <v>45019</v>
      </c>
      <c r="N229" s="82" t="s">
        <v>663</v>
      </c>
      <c r="O229" s="82" t="s">
        <v>664</v>
      </c>
      <c r="P229" s="82" t="s">
        <v>665</v>
      </c>
      <c r="Q229" s="82" t="s">
        <v>575</v>
      </c>
      <c r="R229" s="276" t="s">
        <v>154</v>
      </c>
      <c r="S229" s="82"/>
    </row>
    <row r="230" spans="1:19" ht="60" x14ac:dyDescent="0.25">
      <c r="A230" s="278" t="s">
        <v>641</v>
      </c>
      <c r="B230" s="83">
        <v>45019</v>
      </c>
      <c r="C230" s="83">
        <v>45019</v>
      </c>
      <c r="D230" s="82" t="s">
        <v>455</v>
      </c>
      <c r="E230" s="123" t="s">
        <v>651</v>
      </c>
      <c r="F230" s="82" t="s">
        <v>456</v>
      </c>
      <c r="G230" s="110" t="s">
        <v>481</v>
      </c>
      <c r="H230" s="121" t="s">
        <v>208</v>
      </c>
      <c r="I230" s="113" t="str">
        <f>CONCATENATE("Приложение"," ","№", A230,)</f>
        <v>Приложение №182-ГРС.АС</v>
      </c>
      <c r="J230" s="138" t="s">
        <v>593</v>
      </c>
      <c r="K230" s="82" t="s">
        <v>132</v>
      </c>
      <c r="L230" s="125"/>
      <c r="M230" s="83"/>
      <c r="N230" s="82"/>
      <c r="O230" s="82"/>
      <c r="P230" s="82"/>
      <c r="Q230" s="82"/>
      <c r="R230" s="82"/>
      <c r="S230" s="82"/>
    </row>
    <row r="231" spans="1:19" ht="48" x14ac:dyDescent="0.25">
      <c r="A231" s="279" t="s">
        <v>642</v>
      </c>
      <c r="B231" s="95">
        <v>45019</v>
      </c>
      <c r="C231" s="95">
        <v>45019</v>
      </c>
      <c r="D231" s="276" t="s">
        <v>516</v>
      </c>
      <c r="E231" s="157" t="s">
        <v>690</v>
      </c>
      <c r="F231" s="276" t="s">
        <v>595</v>
      </c>
      <c r="G231" s="276" t="s">
        <v>579</v>
      </c>
      <c r="H231" s="159" t="s">
        <v>208</v>
      </c>
      <c r="I231" s="112" t="str">
        <f>CONCATENATE("Приложение"," ","№", A231,", ","протокол №ФОМ6/ГРС")</f>
        <v>Приложение №183-ГРС.АС, протокол №ФОМ6/ГРС</v>
      </c>
      <c r="J231" s="160" t="s">
        <v>593</v>
      </c>
      <c r="K231" s="82" t="s">
        <v>132</v>
      </c>
      <c r="L231" s="125"/>
      <c r="M231" s="83"/>
      <c r="N231" s="82"/>
      <c r="O231" s="82"/>
      <c r="P231" s="82"/>
      <c r="Q231" s="82"/>
      <c r="R231" s="82"/>
      <c r="S231" s="82"/>
    </row>
    <row r="232" spans="1:19" ht="60" x14ac:dyDescent="0.25">
      <c r="A232" s="146" t="s">
        <v>641</v>
      </c>
      <c r="B232" s="83">
        <v>45019</v>
      </c>
      <c r="C232" s="83">
        <v>45019</v>
      </c>
      <c r="D232" s="82" t="s">
        <v>455</v>
      </c>
      <c r="E232" s="123" t="s">
        <v>652</v>
      </c>
      <c r="F232" s="82" t="s">
        <v>456</v>
      </c>
      <c r="G232" s="110" t="s">
        <v>481</v>
      </c>
      <c r="H232" s="121" t="s">
        <v>208</v>
      </c>
      <c r="I232" s="113" t="str">
        <f>CONCATENATE("Приложение"," ","№", A232,)</f>
        <v>Приложение №182-ГРС.АС</v>
      </c>
      <c r="J232" s="138" t="s">
        <v>593</v>
      </c>
      <c r="K232" s="125" t="s">
        <v>132</v>
      </c>
      <c r="L232" s="139"/>
      <c r="M232" s="95"/>
      <c r="N232" s="276"/>
      <c r="O232" s="276"/>
      <c r="P232" s="276"/>
      <c r="Q232" s="276"/>
      <c r="R232" s="82"/>
      <c r="S232" s="82"/>
    </row>
    <row r="233" spans="1:19" ht="48" x14ac:dyDescent="0.25">
      <c r="A233" s="168" t="s">
        <v>643</v>
      </c>
      <c r="B233" s="127">
        <v>45019</v>
      </c>
      <c r="C233" s="127">
        <v>45019</v>
      </c>
      <c r="D233" s="122" t="s">
        <v>516</v>
      </c>
      <c r="E233" s="164" t="s">
        <v>691</v>
      </c>
      <c r="F233" s="122" t="s">
        <v>595</v>
      </c>
      <c r="G233" s="122" t="s">
        <v>579</v>
      </c>
      <c r="H233" s="171" t="s">
        <v>208</v>
      </c>
      <c r="I233" s="128" t="str">
        <f>CONCATENATE("Приложение"," ","№", A233,", ","протокол №ФОМ7/ГРС")</f>
        <v>Приложение №185-ГРС.АС, протокол №ФОМ7/ГРС</v>
      </c>
      <c r="J233" s="229" t="s">
        <v>593</v>
      </c>
      <c r="K233" s="82" t="s">
        <v>132</v>
      </c>
      <c r="L233" s="82"/>
      <c r="M233" s="83"/>
      <c r="N233" s="82"/>
      <c r="O233" s="82"/>
      <c r="P233" s="82"/>
      <c r="Q233" s="82"/>
      <c r="R233" s="125"/>
      <c r="S233" s="82"/>
    </row>
    <row r="234" spans="1:19" ht="60" x14ac:dyDescent="0.25">
      <c r="A234" s="146" t="s">
        <v>644</v>
      </c>
      <c r="B234" s="83">
        <v>45019</v>
      </c>
      <c r="C234" s="83">
        <v>45019</v>
      </c>
      <c r="D234" s="82" t="s">
        <v>455</v>
      </c>
      <c r="E234" s="123" t="s">
        <v>653</v>
      </c>
      <c r="F234" s="82" t="s">
        <v>456</v>
      </c>
      <c r="G234" s="110" t="s">
        <v>481</v>
      </c>
      <c r="H234" s="121" t="s">
        <v>487</v>
      </c>
      <c r="I234" s="113" t="str">
        <f>CONCATENATE("Приложение"," ","№", A234,)</f>
        <v>Приложение №186-ГРС.АС</v>
      </c>
      <c r="J234" s="138" t="s">
        <v>593</v>
      </c>
      <c r="K234" s="82" t="s">
        <v>132</v>
      </c>
      <c r="L234" s="135"/>
      <c r="M234" s="127"/>
      <c r="N234" s="122"/>
      <c r="O234" s="122"/>
      <c r="P234" s="122"/>
      <c r="Q234" s="122"/>
      <c r="R234" s="82"/>
      <c r="S234" s="82"/>
    </row>
    <row r="235" spans="1:19" ht="48" x14ac:dyDescent="0.25">
      <c r="A235" s="156" t="s">
        <v>645</v>
      </c>
      <c r="B235" s="95">
        <v>45019</v>
      </c>
      <c r="C235" s="95">
        <v>45019</v>
      </c>
      <c r="D235" s="276" t="s">
        <v>516</v>
      </c>
      <c r="E235" s="157" t="s">
        <v>692</v>
      </c>
      <c r="F235" s="276" t="s">
        <v>595</v>
      </c>
      <c r="G235" s="276" t="s">
        <v>579</v>
      </c>
      <c r="H235" s="159" t="s">
        <v>487</v>
      </c>
      <c r="I235" s="113" t="str">
        <f>CONCATENATE("Приложение"," ","№", A235,", ","протокол № ФОМ14/ГРС")</f>
        <v>Приложение №187-ГРС.АС, протокол № ФОМ14/ГРС</v>
      </c>
      <c r="J235" s="160" t="s">
        <v>593</v>
      </c>
      <c r="K235" s="82" t="s">
        <v>132</v>
      </c>
      <c r="L235" s="125"/>
      <c r="M235" s="83"/>
      <c r="N235" s="82"/>
      <c r="O235" s="82"/>
      <c r="P235" s="82"/>
      <c r="Q235" s="82"/>
      <c r="R235" s="82"/>
      <c r="S235" s="82"/>
    </row>
    <row r="236" spans="1:19" ht="45" x14ac:dyDescent="0.25">
      <c r="A236" s="156" t="s">
        <v>646</v>
      </c>
      <c r="B236" s="95">
        <v>45020</v>
      </c>
      <c r="C236" s="95">
        <v>45020</v>
      </c>
      <c r="D236" s="276" t="s">
        <v>654</v>
      </c>
      <c r="E236" s="157" t="s">
        <v>685</v>
      </c>
      <c r="F236" s="276" t="s">
        <v>156</v>
      </c>
      <c r="G236" s="207" t="s">
        <v>152</v>
      </c>
      <c r="H236" s="276" t="s">
        <v>415</v>
      </c>
      <c r="I236" s="112" t="str">
        <f>CONCATENATE("Приложение"," ","№", A236,)</f>
        <v>Приложение №188-ГРС.АС</v>
      </c>
      <c r="J236" s="162" t="s">
        <v>153</v>
      </c>
      <c r="K236" s="125" t="s">
        <v>132</v>
      </c>
      <c r="L236" s="125"/>
      <c r="M236" s="83"/>
      <c r="N236" s="82"/>
      <c r="O236" s="82"/>
      <c r="P236" s="82"/>
      <c r="Q236" s="82"/>
      <c r="R236" s="82"/>
      <c r="S236" s="82"/>
    </row>
    <row r="237" spans="1:19" ht="60" x14ac:dyDescent="0.25">
      <c r="A237" s="146" t="s">
        <v>647</v>
      </c>
      <c r="B237" s="83">
        <v>45020</v>
      </c>
      <c r="C237" s="83">
        <v>45027</v>
      </c>
      <c r="D237" s="82" t="s">
        <v>654</v>
      </c>
      <c r="E237" s="82" t="s">
        <v>667</v>
      </c>
      <c r="F237" s="82" t="s">
        <v>156</v>
      </c>
      <c r="G237" s="92" t="s">
        <v>152</v>
      </c>
      <c r="H237" s="82" t="s">
        <v>655</v>
      </c>
      <c r="I237" s="113" t="str">
        <f t="shared" ref="I237:I260" si="10">CONCATENATE("Приложение"," ","№", A237,)</f>
        <v>Приложение №189-ГРС.АС</v>
      </c>
      <c r="J237" s="107" t="s">
        <v>153</v>
      </c>
      <c r="K237" s="125" t="s">
        <v>132</v>
      </c>
      <c r="L237" s="125"/>
      <c r="M237" s="83"/>
      <c r="N237" s="82"/>
      <c r="O237" s="82"/>
      <c r="P237" s="82"/>
      <c r="Q237" s="82"/>
      <c r="R237" s="82"/>
      <c r="S237" s="82"/>
    </row>
    <row r="238" spans="1:19" ht="48" x14ac:dyDescent="0.25">
      <c r="A238" s="169" t="s">
        <v>648</v>
      </c>
      <c r="B238" s="109">
        <v>45020</v>
      </c>
      <c r="C238" s="109"/>
      <c r="D238" s="91"/>
      <c r="E238" s="91"/>
      <c r="F238" s="91"/>
      <c r="G238" s="91"/>
      <c r="H238" s="91"/>
      <c r="I238" s="169" t="str">
        <f t="shared" si="10"/>
        <v>Приложение №190-ГРС.АС</v>
      </c>
      <c r="J238" s="200" t="s">
        <v>593</v>
      </c>
      <c r="K238" s="139" t="s">
        <v>132</v>
      </c>
      <c r="L238" s="139"/>
      <c r="M238" s="95"/>
      <c r="N238" s="276"/>
      <c r="O238" s="276"/>
      <c r="P238" s="276"/>
      <c r="Q238" s="276"/>
      <c r="R238" s="82"/>
      <c r="S238" s="82"/>
    </row>
    <row r="239" spans="1:19" ht="114.75" x14ac:dyDescent="0.25">
      <c r="A239" s="146" t="s">
        <v>697</v>
      </c>
      <c r="B239" s="83">
        <v>45022</v>
      </c>
      <c r="C239" s="83">
        <v>45023</v>
      </c>
      <c r="D239" s="82" t="s">
        <v>529</v>
      </c>
      <c r="E239" s="85" t="s">
        <v>712</v>
      </c>
      <c r="F239" s="82" t="s">
        <v>531</v>
      </c>
      <c r="G239" s="120" t="s">
        <v>353</v>
      </c>
      <c r="H239" s="82" t="s">
        <v>267</v>
      </c>
      <c r="I239" s="113" t="str">
        <f t="shared" si="10"/>
        <v>Приложение №191-ГРС.АС</v>
      </c>
      <c r="J239" s="138" t="s">
        <v>593</v>
      </c>
      <c r="K239" s="155" t="s">
        <v>524</v>
      </c>
      <c r="L239" s="82"/>
      <c r="M239" s="83"/>
      <c r="N239" s="82"/>
      <c r="O239" s="82"/>
      <c r="P239" s="82"/>
      <c r="Q239" s="82"/>
      <c r="R239" s="125"/>
      <c r="S239" s="82"/>
    </row>
    <row r="240" spans="1:19" ht="80.25" customHeight="1" x14ac:dyDescent="0.25">
      <c r="A240" s="169" t="s">
        <v>698</v>
      </c>
      <c r="B240" s="109">
        <v>45023</v>
      </c>
      <c r="C240" s="109">
        <v>45024</v>
      </c>
      <c r="D240" s="91" t="s">
        <v>713</v>
      </c>
      <c r="E240" s="164" t="s">
        <v>714</v>
      </c>
      <c r="F240" s="122" t="s">
        <v>171</v>
      </c>
      <c r="G240" s="209" t="s">
        <v>400</v>
      </c>
      <c r="H240" s="122" t="s">
        <v>415</v>
      </c>
      <c r="I240" s="128" t="str">
        <f t="shared" si="10"/>
        <v>Приложение №192-ГРС.АС</v>
      </c>
      <c r="J240" s="161" t="s">
        <v>182</v>
      </c>
      <c r="K240" s="135"/>
      <c r="L240" s="135"/>
      <c r="M240" s="127"/>
      <c r="N240" s="122"/>
      <c r="O240" s="122"/>
      <c r="P240" s="122"/>
      <c r="Q240" s="122"/>
      <c r="R240" s="82"/>
      <c r="S240" s="82"/>
    </row>
    <row r="241" spans="1:19" ht="60" x14ac:dyDescent="0.25">
      <c r="A241" s="112" t="s">
        <v>701</v>
      </c>
      <c r="B241" s="95">
        <v>45026</v>
      </c>
      <c r="C241" s="95">
        <v>45033</v>
      </c>
      <c r="D241" s="276" t="s">
        <v>531</v>
      </c>
      <c r="E241" s="276" t="s">
        <v>723</v>
      </c>
      <c r="F241" s="276" t="s">
        <v>192</v>
      </c>
      <c r="G241" s="276" t="s">
        <v>715</v>
      </c>
      <c r="H241" s="82" t="s">
        <v>267</v>
      </c>
      <c r="I241" s="112" t="str">
        <f t="shared" si="10"/>
        <v>Приложение №194-ГРС.АС</v>
      </c>
      <c r="J241" s="160" t="s">
        <v>593</v>
      </c>
      <c r="K241" s="125"/>
      <c r="L241" s="125" t="s">
        <v>701</v>
      </c>
      <c r="M241" s="83">
        <v>45026</v>
      </c>
      <c r="N241" s="82" t="s">
        <v>663</v>
      </c>
      <c r="O241" s="82" t="s">
        <v>716</v>
      </c>
      <c r="P241" s="82" t="s">
        <v>717</v>
      </c>
      <c r="Q241" s="82" t="s">
        <v>575</v>
      </c>
      <c r="R241" s="276" t="s">
        <v>154</v>
      </c>
      <c r="S241" s="82"/>
    </row>
    <row r="242" spans="1:19" ht="60" x14ac:dyDescent="0.25">
      <c r="A242" s="112" t="s">
        <v>702</v>
      </c>
      <c r="B242" s="95">
        <v>45026</v>
      </c>
      <c r="C242" s="95">
        <v>45033</v>
      </c>
      <c r="D242" s="276" t="s">
        <v>170</v>
      </c>
      <c r="E242" s="276" t="s">
        <v>718</v>
      </c>
      <c r="F242" s="276" t="s">
        <v>171</v>
      </c>
      <c r="G242" s="276" t="s">
        <v>719</v>
      </c>
      <c r="H242" s="82" t="s">
        <v>415</v>
      </c>
      <c r="I242" s="112" t="str">
        <f t="shared" si="10"/>
        <v>Приложение №195-ГРС.АС</v>
      </c>
      <c r="J242" s="160" t="s">
        <v>593</v>
      </c>
      <c r="K242" s="125"/>
      <c r="L242" s="125" t="s">
        <v>702</v>
      </c>
      <c r="M242" s="83">
        <v>45026</v>
      </c>
      <c r="N242" s="82" t="s">
        <v>720</v>
      </c>
      <c r="O242" s="82" t="s">
        <v>721</v>
      </c>
      <c r="P242" s="82" t="s">
        <v>722</v>
      </c>
      <c r="Q242" s="82" t="s">
        <v>575</v>
      </c>
      <c r="R242" s="276" t="s">
        <v>154</v>
      </c>
      <c r="S242" s="82"/>
    </row>
    <row r="243" spans="1:19" ht="48" x14ac:dyDescent="0.25">
      <c r="A243" s="112" t="s">
        <v>703</v>
      </c>
      <c r="B243" s="202">
        <v>45027</v>
      </c>
      <c r="C243" s="112"/>
      <c r="D243" s="112"/>
      <c r="E243" s="112" t="s">
        <v>708</v>
      </c>
      <c r="F243" s="112"/>
      <c r="G243" s="112"/>
      <c r="H243" s="112"/>
      <c r="I243" s="112" t="str">
        <f t="shared" si="10"/>
        <v>Приложение №196-ГРС.АС</v>
      </c>
      <c r="J243" s="203" t="s">
        <v>593</v>
      </c>
      <c r="K243" s="125"/>
      <c r="L243" s="125"/>
      <c r="M243" s="83"/>
      <c r="N243" s="82"/>
      <c r="O243" s="82"/>
      <c r="P243" s="82"/>
      <c r="Q243" s="82"/>
      <c r="R243" s="82"/>
      <c r="S243" s="82"/>
    </row>
    <row r="244" spans="1:19" ht="60" x14ac:dyDescent="0.25">
      <c r="A244" s="112" t="s">
        <v>704</v>
      </c>
      <c r="B244" s="95">
        <v>45027</v>
      </c>
      <c r="C244" s="112"/>
      <c r="D244" s="276" t="s">
        <v>455</v>
      </c>
      <c r="E244" s="276" t="s">
        <v>724</v>
      </c>
      <c r="F244" s="276" t="s">
        <v>456</v>
      </c>
      <c r="G244" s="110" t="s">
        <v>481</v>
      </c>
      <c r="H244" s="82" t="s">
        <v>266</v>
      </c>
      <c r="I244" s="112" t="str">
        <f t="shared" si="10"/>
        <v>Приложение №197-ГРС.АС</v>
      </c>
      <c r="J244" s="160" t="s">
        <v>593</v>
      </c>
      <c r="K244" s="125"/>
      <c r="L244" s="125"/>
      <c r="M244" s="83"/>
      <c r="N244" s="82"/>
      <c r="O244" s="82"/>
      <c r="P244" s="82"/>
      <c r="Q244" s="82"/>
      <c r="R244" s="82"/>
      <c r="S244" s="82"/>
    </row>
    <row r="245" spans="1:19" ht="48" x14ac:dyDescent="0.25">
      <c r="A245" s="112" t="s">
        <v>705</v>
      </c>
      <c r="B245" s="202">
        <v>45027</v>
      </c>
      <c r="C245" s="112"/>
      <c r="D245" s="112"/>
      <c r="E245" s="112" t="s">
        <v>709</v>
      </c>
      <c r="F245" s="112"/>
      <c r="G245" s="112"/>
      <c r="H245" s="112"/>
      <c r="I245" s="112" t="str">
        <f t="shared" si="10"/>
        <v>Приложение №198-ГРС.АС</v>
      </c>
      <c r="J245" s="203" t="s">
        <v>593</v>
      </c>
      <c r="K245" s="125"/>
      <c r="L245" s="125"/>
      <c r="M245" s="83"/>
      <c r="N245" s="82"/>
      <c r="O245" s="82"/>
      <c r="P245" s="82"/>
      <c r="Q245" s="82"/>
      <c r="R245" s="82"/>
      <c r="S245" s="82"/>
    </row>
    <row r="246" spans="1:19" ht="48" x14ac:dyDescent="0.25">
      <c r="A246" s="112" t="s">
        <v>706</v>
      </c>
      <c r="B246" s="202">
        <v>45028</v>
      </c>
      <c r="C246" s="202">
        <v>45029</v>
      </c>
      <c r="D246" s="112"/>
      <c r="E246" s="112" t="s">
        <v>710</v>
      </c>
      <c r="F246" s="112"/>
      <c r="G246" s="112"/>
      <c r="H246" s="112"/>
      <c r="I246" s="112" t="str">
        <f t="shared" si="10"/>
        <v>Приложение №199-ГРС.АС</v>
      </c>
      <c r="J246" s="203" t="s">
        <v>593</v>
      </c>
      <c r="K246" s="125"/>
      <c r="L246" s="125"/>
      <c r="M246" s="83"/>
      <c r="N246" s="82"/>
      <c r="O246" s="82"/>
      <c r="P246" s="82"/>
      <c r="Q246" s="82"/>
      <c r="R246" s="82"/>
      <c r="S246" s="82"/>
    </row>
    <row r="247" spans="1:19" ht="60" x14ac:dyDescent="0.25">
      <c r="A247" s="112" t="s">
        <v>707</v>
      </c>
      <c r="B247" s="95">
        <v>45029</v>
      </c>
      <c r="C247" s="112"/>
      <c r="D247" s="276" t="s">
        <v>455</v>
      </c>
      <c r="E247" s="276" t="s">
        <v>725</v>
      </c>
      <c r="F247" s="276" t="s">
        <v>456</v>
      </c>
      <c r="G247" s="110" t="s">
        <v>481</v>
      </c>
      <c r="H247" s="82" t="s">
        <v>267</v>
      </c>
      <c r="I247" s="112" t="str">
        <f>CONCATENATE("Приложение"," ","№", A247,)</f>
        <v>Приложение №200-ГРС.АС</v>
      </c>
      <c r="J247" s="160" t="s">
        <v>593</v>
      </c>
      <c r="K247" s="125"/>
      <c r="L247" s="125"/>
      <c r="M247" s="83"/>
      <c r="N247" s="82"/>
      <c r="O247" s="82"/>
      <c r="P247" s="82"/>
      <c r="Q247" s="82"/>
      <c r="R247" s="82"/>
      <c r="S247" s="82"/>
    </row>
    <row r="248" spans="1:19" ht="114.75" x14ac:dyDescent="0.25">
      <c r="A248" s="113" t="s">
        <v>711</v>
      </c>
      <c r="B248" s="204">
        <v>45035</v>
      </c>
      <c r="C248" s="206">
        <v>45035</v>
      </c>
      <c r="D248" s="82" t="s">
        <v>529</v>
      </c>
      <c r="E248" s="85" t="s">
        <v>746</v>
      </c>
      <c r="F248" s="82" t="s">
        <v>531</v>
      </c>
      <c r="G248" s="120" t="s">
        <v>353</v>
      </c>
      <c r="H248" s="82" t="s">
        <v>265</v>
      </c>
      <c r="I248" s="113" t="str">
        <f>CONCATENATE("Приложение"," ","№", A248,)</f>
        <v>Приложение №201-ГРС.АС</v>
      </c>
      <c r="J248" s="138" t="s">
        <v>593</v>
      </c>
      <c r="K248" s="155" t="s">
        <v>524</v>
      </c>
      <c r="L248" s="125"/>
      <c r="M248" s="83"/>
      <c r="N248" s="82"/>
      <c r="O248" s="82"/>
      <c r="P248" s="82"/>
      <c r="Q248" s="82"/>
      <c r="R248" s="82"/>
      <c r="S248" s="82"/>
    </row>
    <row r="249" spans="1:19" ht="60" x14ac:dyDescent="0.25">
      <c r="A249" s="112" t="s">
        <v>726</v>
      </c>
      <c r="B249" s="202">
        <v>45036</v>
      </c>
      <c r="C249" s="109">
        <v>45043</v>
      </c>
      <c r="D249" s="276" t="s">
        <v>531</v>
      </c>
      <c r="E249" s="276" t="s">
        <v>742</v>
      </c>
      <c r="F249" s="276" t="s">
        <v>192</v>
      </c>
      <c r="G249" s="276" t="s">
        <v>741</v>
      </c>
      <c r="H249" s="82" t="s">
        <v>267</v>
      </c>
      <c r="I249" s="112" t="str">
        <f>CONCATENATE("Приложение"," ","№", A249,)</f>
        <v>Приложение №202-ГРС.АС</v>
      </c>
      <c r="J249" s="160" t="s">
        <v>593</v>
      </c>
      <c r="L249" s="125" t="s">
        <v>726</v>
      </c>
      <c r="M249" s="83">
        <v>45036</v>
      </c>
      <c r="N249" s="82" t="s">
        <v>663</v>
      </c>
      <c r="O249" s="82" t="s">
        <v>743</v>
      </c>
      <c r="P249" s="82" t="s">
        <v>744</v>
      </c>
      <c r="Q249" s="82" t="s">
        <v>575</v>
      </c>
      <c r="R249" s="276" t="s">
        <v>154</v>
      </c>
      <c r="S249" s="82"/>
    </row>
    <row r="250" spans="1:19" ht="51" x14ac:dyDescent="0.25">
      <c r="A250" s="156" t="s">
        <v>727</v>
      </c>
      <c r="B250" s="95">
        <v>45037</v>
      </c>
      <c r="C250" s="95">
        <v>45037</v>
      </c>
      <c r="D250" s="276" t="s">
        <v>170</v>
      </c>
      <c r="E250" s="157" t="s">
        <v>730</v>
      </c>
      <c r="F250" s="276" t="s">
        <v>173</v>
      </c>
      <c r="G250" s="158" t="s">
        <v>222</v>
      </c>
      <c r="H250" s="276" t="s">
        <v>655</v>
      </c>
      <c r="I250" s="112" t="str">
        <f t="shared" si="10"/>
        <v>Приложение №203-ГРС.АС</v>
      </c>
      <c r="J250" s="205" t="s">
        <v>593</v>
      </c>
      <c r="K250" s="125"/>
      <c r="L250" s="125"/>
      <c r="M250" s="83"/>
      <c r="N250" s="82"/>
      <c r="O250" s="82"/>
      <c r="P250" s="82"/>
      <c r="Q250" s="82"/>
      <c r="R250" s="82"/>
      <c r="S250" s="82"/>
    </row>
    <row r="251" spans="1:19" ht="48" x14ac:dyDescent="0.25">
      <c r="A251" s="113" t="s">
        <v>728</v>
      </c>
      <c r="B251" s="83">
        <v>45037</v>
      </c>
      <c r="C251" s="83">
        <v>45044</v>
      </c>
      <c r="D251" s="82" t="s">
        <v>155</v>
      </c>
      <c r="E251" s="85" t="s">
        <v>731</v>
      </c>
      <c r="F251" s="82" t="s">
        <v>171</v>
      </c>
      <c r="G251" s="82" t="s">
        <v>732</v>
      </c>
      <c r="H251" s="82" t="s">
        <v>655</v>
      </c>
      <c r="I251" s="113" t="str">
        <f t="shared" si="10"/>
        <v>Приложение №204-ГРС.АС</v>
      </c>
      <c r="J251" s="208" t="s">
        <v>593</v>
      </c>
      <c r="K251" s="125"/>
      <c r="L251" s="125" t="s">
        <v>728</v>
      </c>
      <c r="M251" s="83">
        <v>45037</v>
      </c>
      <c r="N251" s="82" t="s">
        <v>720</v>
      </c>
      <c r="O251" s="82">
        <v>4.5599999999999996</v>
      </c>
      <c r="P251" s="82" t="s">
        <v>733</v>
      </c>
      <c r="Q251" s="82" t="s">
        <v>575</v>
      </c>
      <c r="R251" s="276" t="s">
        <v>154</v>
      </c>
      <c r="S251" s="82"/>
    </row>
    <row r="252" spans="1:19" ht="114.75" x14ac:dyDescent="0.25">
      <c r="A252" s="82" t="s">
        <v>729</v>
      </c>
      <c r="B252" s="83">
        <v>45040</v>
      </c>
      <c r="C252" s="83">
        <v>45042</v>
      </c>
      <c r="D252" s="82" t="s">
        <v>529</v>
      </c>
      <c r="E252" s="85" t="s">
        <v>747</v>
      </c>
      <c r="F252" s="82" t="s">
        <v>531</v>
      </c>
      <c r="G252" s="120" t="s">
        <v>353</v>
      </c>
      <c r="H252" s="82" t="s">
        <v>655</v>
      </c>
      <c r="I252" s="113" t="str">
        <f t="shared" si="10"/>
        <v>Приложение №205-ГРС.АС</v>
      </c>
      <c r="J252" s="138" t="s">
        <v>593</v>
      </c>
      <c r="K252" s="155" t="s">
        <v>524</v>
      </c>
      <c r="L252" s="125"/>
      <c r="M252" s="83"/>
      <c r="N252" s="82"/>
      <c r="O252" s="82"/>
      <c r="P252" s="82"/>
      <c r="Q252" s="82"/>
      <c r="R252" s="82"/>
      <c r="S252" s="82"/>
    </row>
    <row r="253" spans="1:19" ht="60" x14ac:dyDescent="0.25">
      <c r="A253" s="82" t="s">
        <v>745</v>
      </c>
      <c r="B253" s="83">
        <v>45043</v>
      </c>
      <c r="C253" s="83">
        <v>45050</v>
      </c>
      <c r="D253" s="276" t="s">
        <v>531</v>
      </c>
      <c r="E253" s="276" t="s">
        <v>748</v>
      </c>
      <c r="F253" s="276" t="s">
        <v>192</v>
      </c>
      <c r="G253" s="276" t="s">
        <v>749</v>
      </c>
      <c r="H253" s="82" t="s">
        <v>655</v>
      </c>
      <c r="I253" s="112" t="str">
        <f t="shared" si="10"/>
        <v>Приложение №205.1-ГРС.АС</v>
      </c>
      <c r="J253" s="160" t="s">
        <v>593</v>
      </c>
      <c r="L253" s="125" t="s">
        <v>745</v>
      </c>
      <c r="M253" s="83">
        <v>45043</v>
      </c>
      <c r="N253" s="82" t="s">
        <v>663</v>
      </c>
      <c r="O253" s="82" t="s">
        <v>750</v>
      </c>
      <c r="P253" s="82" t="s">
        <v>751</v>
      </c>
      <c r="Q253" s="82" t="s">
        <v>575</v>
      </c>
      <c r="R253" s="276" t="s">
        <v>154</v>
      </c>
      <c r="S253" s="82"/>
    </row>
    <row r="254" spans="1:19" ht="60" x14ac:dyDescent="0.25">
      <c r="A254" s="82" t="s">
        <v>752</v>
      </c>
      <c r="B254" s="83">
        <v>45043</v>
      </c>
      <c r="C254" s="83">
        <v>45055</v>
      </c>
      <c r="D254" s="276" t="s">
        <v>455</v>
      </c>
      <c r="E254" s="276" t="s">
        <v>765</v>
      </c>
      <c r="F254" s="276" t="s">
        <v>456</v>
      </c>
      <c r="G254" s="110" t="s">
        <v>481</v>
      </c>
      <c r="H254" s="82" t="s">
        <v>265</v>
      </c>
      <c r="I254" s="112" t="str">
        <f t="shared" si="10"/>
        <v>Приложение №207-ГРС.АС</v>
      </c>
      <c r="J254" s="160" t="s">
        <v>593</v>
      </c>
      <c r="L254" s="125"/>
      <c r="M254" s="83"/>
      <c r="N254" s="82"/>
      <c r="O254" s="82"/>
      <c r="P254" s="82"/>
      <c r="Q254" s="82"/>
      <c r="R254" s="82"/>
      <c r="S254" s="82"/>
    </row>
    <row r="255" spans="1:19" ht="60" x14ac:dyDescent="0.25">
      <c r="A255" s="82" t="s">
        <v>753</v>
      </c>
      <c r="B255" s="83">
        <v>45045</v>
      </c>
      <c r="C255" s="83">
        <v>45047</v>
      </c>
      <c r="D255" s="276" t="s">
        <v>455</v>
      </c>
      <c r="E255" s="276" t="s">
        <v>766</v>
      </c>
      <c r="F255" s="276" t="s">
        <v>456</v>
      </c>
      <c r="G255" s="110" t="s">
        <v>481</v>
      </c>
      <c r="H255" s="82" t="s">
        <v>655</v>
      </c>
      <c r="I255" s="112" t="str">
        <f t="shared" si="10"/>
        <v>Приложение №208-ГРС.АС</v>
      </c>
      <c r="J255" s="160" t="s">
        <v>593</v>
      </c>
      <c r="L255" s="125"/>
      <c r="M255" s="83"/>
      <c r="N255" s="82"/>
      <c r="O255" s="82"/>
      <c r="P255" s="82"/>
      <c r="Q255" s="82"/>
      <c r="R255" s="82"/>
      <c r="S255" s="82"/>
    </row>
    <row r="256" spans="1:19" ht="60" x14ac:dyDescent="0.25">
      <c r="A256" s="276" t="s">
        <v>754</v>
      </c>
      <c r="B256" s="95">
        <v>45045</v>
      </c>
      <c r="C256" s="95">
        <v>45047</v>
      </c>
      <c r="D256" s="276" t="s">
        <v>455</v>
      </c>
      <c r="E256" s="276" t="s">
        <v>767</v>
      </c>
      <c r="F256" s="276" t="s">
        <v>456</v>
      </c>
      <c r="G256" s="110" t="s">
        <v>481</v>
      </c>
      <c r="H256" s="82" t="s">
        <v>415</v>
      </c>
      <c r="I256" s="112" t="str">
        <f t="shared" si="10"/>
        <v>Приложение №209-ГРС.АС</v>
      </c>
      <c r="J256" s="160" t="s">
        <v>593</v>
      </c>
      <c r="L256" s="125"/>
      <c r="M256" s="83"/>
      <c r="N256" s="82"/>
      <c r="O256" s="82"/>
      <c r="P256" s="82"/>
      <c r="Q256" s="82"/>
      <c r="R256" s="82"/>
      <c r="S256" s="82"/>
    </row>
    <row r="257" spans="1:19" s="201" customFormat="1" ht="45" x14ac:dyDescent="0.25">
      <c r="A257" s="150" t="s">
        <v>734</v>
      </c>
      <c r="B257" s="151">
        <v>45004</v>
      </c>
      <c r="C257" s="151">
        <v>45048</v>
      </c>
      <c r="D257" s="150" t="s">
        <v>616</v>
      </c>
      <c r="E257" s="150" t="s">
        <v>735</v>
      </c>
      <c r="F257" s="215" t="s">
        <v>699</v>
      </c>
      <c r="G257" s="215" t="s">
        <v>699</v>
      </c>
      <c r="H257" s="150" t="s">
        <v>700</v>
      </c>
      <c r="I257" s="150" t="str">
        <f t="shared" si="10"/>
        <v>Приложение №206-ГРС.АС</v>
      </c>
      <c r="J257" s="152" t="s">
        <v>153</v>
      </c>
      <c r="K257" s="153"/>
      <c r="L257" s="153"/>
      <c r="M257" s="151"/>
      <c r="N257" s="150"/>
      <c r="O257" s="150"/>
      <c r="P257" s="150"/>
      <c r="Q257" s="150"/>
      <c r="R257" s="150"/>
      <c r="S257" s="150"/>
    </row>
    <row r="258" spans="1:19" ht="114.75" x14ac:dyDescent="0.25">
      <c r="A258" s="122" t="s">
        <v>755</v>
      </c>
      <c r="B258" s="127">
        <v>45049</v>
      </c>
      <c r="C258" s="95">
        <v>45049</v>
      </c>
      <c r="D258" s="82" t="s">
        <v>529</v>
      </c>
      <c r="E258" s="85" t="s">
        <v>768</v>
      </c>
      <c r="F258" s="82" t="s">
        <v>531</v>
      </c>
      <c r="G258" s="120" t="s">
        <v>353</v>
      </c>
      <c r="H258" s="82" t="s">
        <v>655</v>
      </c>
      <c r="I258" s="113" t="str">
        <f t="shared" si="10"/>
        <v>Приложение №210-ГРС.АС</v>
      </c>
      <c r="J258" s="138" t="s">
        <v>593</v>
      </c>
      <c r="K258" s="155" t="s">
        <v>524</v>
      </c>
      <c r="L258" s="125"/>
      <c r="M258" s="83"/>
      <c r="N258" s="82"/>
      <c r="O258" s="82"/>
      <c r="P258" s="82"/>
      <c r="Q258" s="82"/>
      <c r="R258" s="82"/>
      <c r="S258" s="82"/>
    </row>
    <row r="259" spans="1:19" ht="60" x14ac:dyDescent="0.25">
      <c r="A259" s="82" t="s">
        <v>756</v>
      </c>
      <c r="B259" s="83">
        <v>45050</v>
      </c>
      <c r="C259" s="95">
        <v>45057</v>
      </c>
      <c r="D259" s="276" t="s">
        <v>531</v>
      </c>
      <c r="E259" s="276" t="s">
        <v>769</v>
      </c>
      <c r="F259" s="276" t="s">
        <v>192</v>
      </c>
      <c r="G259" s="276" t="s">
        <v>770</v>
      </c>
      <c r="H259" s="82" t="s">
        <v>417</v>
      </c>
      <c r="I259" s="112" t="str">
        <f t="shared" si="10"/>
        <v>Приложение №211-ГРС.АС</v>
      </c>
      <c r="J259" s="160" t="s">
        <v>593</v>
      </c>
      <c r="L259" s="125" t="s">
        <v>756</v>
      </c>
      <c r="M259" s="83">
        <v>45050</v>
      </c>
      <c r="N259" s="82" t="s">
        <v>663</v>
      </c>
      <c r="O259" s="82" t="s">
        <v>773</v>
      </c>
      <c r="P259" s="82" t="s">
        <v>771</v>
      </c>
      <c r="Q259" s="82" t="s">
        <v>575</v>
      </c>
      <c r="R259" s="276" t="s">
        <v>154</v>
      </c>
      <c r="S259" s="82"/>
    </row>
    <row r="260" spans="1:19" ht="60" x14ac:dyDescent="0.25">
      <c r="A260" s="82" t="s">
        <v>757</v>
      </c>
      <c r="B260" s="83">
        <v>45050</v>
      </c>
      <c r="C260" s="95">
        <v>45057</v>
      </c>
      <c r="D260" s="276" t="s">
        <v>531</v>
      </c>
      <c r="E260" s="276" t="s">
        <v>772</v>
      </c>
      <c r="F260" s="276" t="s">
        <v>192</v>
      </c>
      <c r="G260" s="276" t="s">
        <v>770</v>
      </c>
      <c r="H260" s="82" t="s">
        <v>417</v>
      </c>
      <c r="I260" s="112" t="str">
        <f t="shared" si="10"/>
        <v>Приложение №212-ГРС.АС</v>
      </c>
      <c r="J260" s="160" t="s">
        <v>593</v>
      </c>
      <c r="L260" s="125"/>
      <c r="M260" s="83"/>
      <c r="N260" s="82"/>
      <c r="O260" s="82"/>
      <c r="P260" s="82"/>
      <c r="Q260" s="82"/>
      <c r="R260" s="82"/>
      <c r="S260" s="82"/>
    </row>
    <row r="261" spans="1:19" x14ac:dyDescent="0.25">
      <c r="A261" s="82" t="s">
        <v>758</v>
      </c>
      <c r="B261" s="216">
        <v>45054</v>
      </c>
      <c r="C261" s="216">
        <v>45054</v>
      </c>
      <c r="E261" s="82" t="s">
        <v>736</v>
      </c>
      <c r="L261" s="125"/>
      <c r="M261" s="83"/>
      <c r="N261" s="82"/>
      <c r="O261" s="82"/>
      <c r="P261" s="82"/>
      <c r="Q261" s="82"/>
      <c r="R261" s="82"/>
      <c r="S261" s="82"/>
    </row>
    <row r="262" spans="1:19" x14ac:dyDescent="0.25">
      <c r="A262" s="82" t="s">
        <v>759</v>
      </c>
      <c r="B262" s="216">
        <v>45055</v>
      </c>
      <c r="C262" s="216">
        <v>45055</v>
      </c>
      <c r="L262" s="125"/>
      <c r="M262" s="83"/>
      <c r="N262" s="82"/>
      <c r="O262" s="82"/>
      <c r="P262" s="82"/>
      <c r="Q262" s="82"/>
      <c r="R262" s="82"/>
      <c r="S262" s="82"/>
    </row>
    <row r="263" spans="1:19" ht="30" x14ac:dyDescent="0.25">
      <c r="A263" s="82" t="s">
        <v>760</v>
      </c>
      <c r="B263" s="216">
        <v>45056</v>
      </c>
      <c r="C263" s="216"/>
      <c r="E263" s="82" t="s">
        <v>737</v>
      </c>
      <c r="L263" s="125"/>
      <c r="M263" s="83"/>
      <c r="N263" s="82"/>
      <c r="O263" s="82"/>
      <c r="P263" s="82"/>
      <c r="Q263" s="82"/>
      <c r="R263" s="82"/>
      <c r="S263" s="82"/>
    </row>
    <row r="264" spans="1:19" x14ac:dyDescent="0.25">
      <c r="A264" s="82" t="s">
        <v>761</v>
      </c>
      <c r="B264" s="216"/>
      <c r="C264" s="216"/>
      <c r="L264" s="125"/>
      <c r="M264" s="83"/>
      <c r="N264" s="82"/>
      <c r="O264" s="82"/>
      <c r="P264" s="82"/>
      <c r="Q264" s="82"/>
      <c r="R264" s="82"/>
      <c r="S264" s="82"/>
    </row>
    <row r="265" spans="1:19" x14ac:dyDescent="0.25">
      <c r="A265" s="82" t="s">
        <v>762</v>
      </c>
      <c r="B265" s="216">
        <v>45057</v>
      </c>
      <c r="E265" s="82" t="s">
        <v>738</v>
      </c>
      <c r="L265" s="125"/>
      <c r="M265" s="83"/>
      <c r="N265" s="82"/>
      <c r="O265" s="82"/>
      <c r="P265" s="82"/>
      <c r="Q265" s="82"/>
      <c r="R265" s="82"/>
      <c r="S265" s="82"/>
    </row>
    <row r="266" spans="1:19" ht="30" x14ac:dyDescent="0.25">
      <c r="A266" s="82" t="s">
        <v>763</v>
      </c>
      <c r="E266" s="82" t="s">
        <v>739</v>
      </c>
      <c r="L266" s="125"/>
      <c r="M266" s="83"/>
      <c r="N266" s="82"/>
      <c r="O266" s="82"/>
      <c r="P266" s="82"/>
      <c r="Q266" s="82"/>
      <c r="R266" s="82"/>
      <c r="S266" s="82"/>
    </row>
    <row r="267" spans="1:19" ht="45" x14ac:dyDescent="0.25">
      <c r="A267" s="276" t="s">
        <v>764</v>
      </c>
      <c r="B267" s="276"/>
      <c r="C267" s="276"/>
      <c r="D267" s="276"/>
      <c r="E267" s="276" t="s">
        <v>740</v>
      </c>
      <c r="F267" s="276"/>
      <c r="G267" s="276"/>
      <c r="H267" s="276"/>
      <c r="I267" s="276"/>
      <c r="J267" s="276"/>
      <c r="L267" s="125"/>
      <c r="M267" s="83"/>
      <c r="N267" s="82"/>
      <c r="O267" s="82"/>
      <c r="P267" s="82"/>
      <c r="Q267" s="82"/>
      <c r="R267" s="82"/>
      <c r="S267" s="82"/>
    </row>
    <row r="268" spans="1:19" ht="75" x14ac:dyDescent="0.25">
      <c r="A268" s="276" t="s">
        <v>1202</v>
      </c>
      <c r="B268" s="95">
        <v>45003</v>
      </c>
      <c r="C268" s="95">
        <v>45003</v>
      </c>
      <c r="D268" s="276" t="s">
        <v>516</v>
      </c>
      <c r="E268" s="276" t="s">
        <v>1211</v>
      </c>
      <c r="F268" s="276" t="s">
        <v>595</v>
      </c>
      <c r="G268" s="276" t="s">
        <v>195</v>
      </c>
      <c r="H268" s="276" t="s">
        <v>180</v>
      </c>
      <c r="I268" s="276" t="s">
        <v>1203</v>
      </c>
      <c r="J268" s="82" t="s">
        <v>593</v>
      </c>
      <c r="K268" s="125"/>
      <c r="L268" s="125"/>
      <c r="M268" s="83"/>
      <c r="N268" s="82"/>
      <c r="O268" s="82"/>
      <c r="P268" s="82"/>
      <c r="Q268" s="82"/>
      <c r="R268" s="82"/>
      <c r="S268" s="82"/>
    </row>
    <row r="269" spans="1:19" ht="75" x14ac:dyDescent="0.25">
      <c r="A269" s="276" t="s">
        <v>1210</v>
      </c>
      <c r="B269" s="95">
        <v>45003</v>
      </c>
      <c r="C269" s="95">
        <v>45003</v>
      </c>
      <c r="D269" s="276" t="s">
        <v>516</v>
      </c>
      <c r="E269" s="276" t="s">
        <v>1213</v>
      </c>
      <c r="F269" s="276" t="s">
        <v>595</v>
      </c>
      <c r="G269" s="276" t="s">
        <v>195</v>
      </c>
      <c r="H269" s="276" t="s">
        <v>180</v>
      </c>
      <c r="I269" s="276" t="s">
        <v>1212</v>
      </c>
      <c r="J269" s="276" t="s">
        <v>593</v>
      </c>
      <c r="K269" s="125"/>
      <c r="L269" s="125"/>
      <c r="M269" s="83"/>
      <c r="N269" s="82"/>
      <c r="O269" s="82"/>
      <c r="P269" s="82"/>
      <c r="Q269" s="82"/>
      <c r="R269" s="82"/>
      <c r="S269" s="82"/>
    </row>
    <row r="270" spans="1:19" ht="66.75" customHeight="1" x14ac:dyDescent="0.25">
      <c r="A270" s="82" t="s">
        <v>1219</v>
      </c>
      <c r="B270" s="83">
        <v>45003</v>
      </c>
      <c r="C270" s="83">
        <v>45003</v>
      </c>
      <c r="D270" s="82" t="s">
        <v>831</v>
      </c>
      <c r="E270" s="82" t="s">
        <v>1222</v>
      </c>
      <c r="F270" s="92" t="s">
        <v>195</v>
      </c>
      <c r="G270" s="92" t="s">
        <v>833</v>
      </c>
      <c r="H270" s="82" t="s">
        <v>180</v>
      </c>
      <c r="I270" s="110" t="s">
        <v>1221</v>
      </c>
      <c r="J270" s="82" t="s">
        <v>593</v>
      </c>
      <c r="K270" s="139"/>
      <c r="L270" s="139"/>
      <c r="M270" s="95"/>
      <c r="N270" s="276"/>
      <c r="O270" s="276"/>
      <c r="P270" s="276"/>
      <c r="Q270" s="276"/>
      <c r="R270" s="82"/>
      <c r="S270" s="82"/>
    </row>
    <row r="271" spans="1:19" ht="75" x14ac:dyDescent="0.25">
      <c r="A271" s="91" t="s">
        <v>1214</v>
      </c>
      <c r="B271" s="109">
        <v>45003</v>
      </c>
      <c r="C271" s="109">
        <v>45003</v>
      </c>
      <c r="D271" s="91" t="s">
        <v>516</v>
      </c>
      <c r="E271" s="91" t="s">
        <v>1215</v>
      </c>
      <c r="F271" s="91" t="s">
        <v>595</v>
      </c>
      <c r="G271" s="91" t="s">
        <v>195</v>
      </c>
      <c r="H271" s="91" t="s">
        <v>181</v>
      </c>
      <c r="I271" s="91" t="s">
        <v>1216</v>
      </c>
      <c r="J271" s="91" t="s">
        <v>593</v>
      </c>
      <c r="K271" s="139"/>
      <c r="L271" s="139"/>
      <c r="M271" s="95"/>
      <c r="N271" s="276"/>
      <c r="O271" s="276"/>
      <c r="P271" s="276"/>
      <c r="Q271" s="276"/>
      <c r="R271" s="82"/>
      <c r="S271" s="82"/>
    </row>
    <row r="272" spans="1:19" ht="69" customHeight="1" x14ac:dyDescent="0.25">
      <c r="A272" s="82" t="s">
        <v>1217</v>
      </c>
      <c r="B272" s="83">
        <v>45003</v>
      </c>
      <c r="C272" s="83">
        <v>45003</v>
      </c>
      <c r="D272" s="82" t="s">
        <v>831</v>
      </c>
      <c r="E272" s="82" t="s">
        <v>1220</v>
      </c>
      <c r="F272" s="92" t="s">
        <v>195</v>
      </c>
      <c r="G272" s="92" t="s">
        <v>833</v>
      </c>
      <c r="H272" s="82" t="s">
        <v>180</v>
      </c>
      <c r="I272" s="110" t="s">
        <v>1218</v>
      </c>
      <c r="J272" s="82" t="s">
        <v>593</v>
      </c>
      <c r="K272" s="139"/>
      <c r="L272" s="139"/>
      <c r="M272" s="95"/>
      <c r="N272" s="276"/>
      <c r="O272" s="276"/>
      <c r="P272" s="276"/>
      <c r="Q272" s="276"/>
      <c r="R272" s="125"/>
      <c r="S272" s="82"/>
    </row>
    <row r="273" spans="1:19" ht="60" x14ac:dyDescent="0.25">
      <c r="A273" s="172" t="s">
        <v>774</v>
      </c>
      <c r="B273" s="220">
        <v>45014</v>
      </c>
      <c r="C273" s="220">
        <v>45015</v>
      </c>
      <c r="D273" s="227" t="s">
        <v>155</v>
      </c>
      <c r="E273" s="227" t="s">
        <v>784</v>
      </c>
      <c r="F273" s="227" t="s">
        <v>786</v>
      </c>
      <c r="G273" s="227" t="s">
        <v>778</v>
      </c>
      <c r="H273" s="227" t="s">
        <v>208</v>
      </c>
      <c r="I273" s="227" t="s">
        <v>779</v>
      </c>
      <c r="J273" s="268" t="s">
        <v>182</v>
      </c>
      <c r="K273" s="82" t="s">
        <v>195</v>
      </c>
      <c r="L273" s="82"/>
      <c r="M273" s="83"/>
      <c r="N273" s="82"/>
      <c r="O273" s="82"/>
      <c r="P273" s="82"/>
      <c r="Q273" s="82"/>
      <c r="R273" s="125"/>
      <c r="S273" s="82"/>
    </row>
    <row r="274" spans="1:19" ht="72" x14ac:dyDescent="0.25">
      <c r="A274" s="217" t="s">
        <v>775</v>
      </c>
      <c r="B274" s="219">
        <v>44998</v>
      </c>
      <c r="C274" s="219">
        <v>44998</v>
      </c>
      <c r="D274" s="222" t="s">
        <v>155</v>
      </c>
      <c r="E274" s="223" t="s">
        <v>780</v>
      </c>
      <c r="F274" s="222" t="s">
        <v>171</v>
      </c>
      <c r="G274" s="224" t="s">
        <v>400</v>
      </c>
      <c r="H274" s="225" t="s">
        <v>208</v>
      </c>
      <c r="I274" s="222" t="str">
        <f>CONCATENATE("Приложение"," ","№", A274,)</f>
        <v>Приложение №111.3-ГРС.АС</v>
      </c>
      <c r="J274" s="226" t="s">
        <v>182</v>
      </c>
      <c r="K274" s="82" t="s">
        <v>195</v>
      </c>
      <c r="L274" s="135"/>
      <c r="M274" s="127"/>
      <c r="N274" s="122"/>
      <c r="O274" s="122"/>
      <c r="P274" s="122"/>
      <c r="Q274" s="122"/>
      <c r="R274" s="82"/>
      <c r="S274" s="82"/>
    </row>
    <row r="275" spans="1:19" ht="60" x14ac:dyDescent="0.25">
      <c r="A275" s="150" t="s">
        <v>776</v>
      </c>
      <c r="B275" s="218">
        <v>44998</v>
      </c>
      <c r="C275" s="218">
        <v>44998</v>
      </c>
      <c r="D275" s="221" t="s">
        <v>654</v>
      </c>
      <c r="E275" s="221" t="s">
        <v>785</v>
      </c>
      <c r="F275" s="221" t="s">
        <v>156</v>
      </c>
      <c r="G275" s="221" t="s">
        <v>195</v>
      </c>
      <c r="H275" s="221" t="s">
        <v>208</v>
      </c>
      <c r="I275" s="221" t="s">
        <v>781</v>
      </c>
      <c r="J275" s="221" t="s">
        <v>182</v>
      </c>
      <c r="K275" s="82" t="s">
        <v>195</v>
      </c>
      <c r="L275" s="125"/>
      <c r="M275" s="83"/>
      <c r="N275" s="82"/>
      <c r="O275" s="82"/>
      <c r="P275" s="82"/>
      <c r="Q275" s="82"/>
      <c r="R275" s="82"/>
      <c r="S275" s="82"/>
    </row>
    <row r="276" spans="1:19" ht="135" x14ac:dyDescent="0.25">
      <c r="A276" s="172" t="s">
        <v>777</v>
      </c>
      <c r="B276" s="220">
        <v>44998</v>
      </c>
      <c r="C276" s="220">
        <v>44970</v>
      </c>
      <c r="D276" s="227" t="s">
        <v>155</v>
      </c>
      <c r="E276" s="227" t="s">
        <v>782</v>
      </c>
      <c r="F276" s="227" t="s">
        <v>171</v>
      </c>
      <c r="G276" s="227" t="s">
        <v>400</v>
      </c>
      <c r="H276" s="227" t="s">
        <v>208</v>
      </c>
      <c r="I276" s="227" t="s">
        <v>783</v>
      </c>
      <c r="J276" s="227" t="s">
        <v>182</v>
      </c>
      <c r="K276" s="82" t="s">
        <v>195</v>
      </c>
      <c r="L276" s="125"/>
      <c r="M276" s="83"/>
      <c r="N276" s="82"/>
      <c r="O276" s="82"/>
      <c r="P276" s="82"/>
      <c r="Q276" s="82"/>
      <c r="R276" s="82"/>
      <c r="S276" s="82"/>
    </row>
    <row r="277" spans="1:19" ht="60" x14ac:dyDescent="0.25">
      <c r="A277" s="230" t="s">
        <v>641</v>
      </c>
      <c r="B277" s="95">
        <v>45019</v>
      </c>
      <c r="C277" s="95">
        <v>45019</v>
      </c>
      <c r="D277" s="276" t="s">
        <v>455</v>
      </c>
      <c r="E277" s="191" t="s">
        <v>652</v>
      </c>
      <c r="F277" s="276" t="s">
        <v>456</v>
      </c>
      <c r="G277" s="192" t="s">
        <v>481</v>
      </c>
      <c r="H277" s="159" t="s">
        <v>208</v>
      </c>
      <c r="I277" s="276" t="str">
        <f>CONCATENATE("Приложение"," ","№", A277,)</f>
        <v>Приложение №182-ГРС.АС</v>
      </c>
      <c r="J277" s="160" t="s">
        <v>593</v>
      </c>
      <c r="K277" s="276"/>
      <c r="L277" s="139"/>
      <c r="M277" s="95"/>
      <c r="N277" s="276"/>
      <c r="O277" s="276"/>
      <c r="P277" s="276"/>
      <c r="Q277" s="276"/>
      <c r="R277" s="276"/>
      <c r="S277" s="276"/>
    </row>
    <row r="278" spans="1:19" ht="31.15" customHeight="1" x14ac:dyDescent="0.25">
      <c r="A278" s="414" t="s">
        <v>837</v>
      </c>
      <c r="B278" s="415"/>
      <c r="C278" s="415"/>
      <c r="D278" s="415"/>
      <c r="E278" s="415"/>
      <c r="F278" s="415"/>
      <c r="G278" s="415"/>
      <c r="H278" s="415"/>
      <c r="I278" s="415"/>
      <c r="J278" s="415"/>
      <c r="K278" s="415"/>
      <c r="L278" s="415"/>
      <c r="M278" s="415"/>
      <c r="N278" s="415"/>
      <c r="O278" s="415"/>
      <c r="P278" s="415"/>
      <c r="Q278" s="415"/>
      <c r="R278" s="415"/>
      <c r="S278" s="416"/>
    </row>
    <row r="279" spans="1:19" ht="75" x14ac:dyDescent="0.25">
      <c r="A279" s="189" t="s">
        <v>787</v>
      </c>
      <c r="B279" s="109">
        <v>45020</v>
      </c>
      <c r="C279" s="109">
        <v>45020</v>
      </c>
      <c r="D279" s="91" t="s">
        <v>789</v>
      </c>
      <c r="E279" s="91" t="s">
        <v>790</v>
      </c>
      <c r="F279" s="91" t="s">
        <v>156</v>
      </c>
      <c r="G279" s="91" t="s">
        <v>195</v>
      </c>
      <c r="H279" s="91" t="s">
        <v>415</v>
      </c>
      <c r="I279" s="91" t="s">
        <v>788</v>
      </c>
      <c r="J279" s="91" t="s">
        <v>593</v>
      </c>
      <c r="K279" s="135"/>
      <c r="L279" s="135"/>
      <c r="M279" s="127"/>
      <c r="N279" s="122"/>
      <c r="O279" s="122"/>
      <c r="P279" s="122"/>
      <c r="Q279" s="122"/>
      <c r="R279" s="122"/>
      <c r="S279" s="122"/>
    </row>
    <row r="280" spans="1:19" ht="60" x14ac:dyDescent="0.25">
      <c r="A280" s="156" t="s">
        <v>791</v>
      </c>
      <c r="B280" s="95">
        <v>45020</v>
      </c>
      <c r="C280" s="95">
        <v>45020</v>
      </c>
      <c r="D280" s="276" t="s">
        <v>654</v>
      </c>
      <c r="E280" s="276" t="s">
        <v>792</v>
      </c>
      <c r="F280" s="276" t="s">
        <v>377</v>
      </c>
      <c r="G280" s="276" t="s">
        <v>195</v>
      </c>
      <c r="H280" s="276" t="s">
        <v>415</v>
      </c>
      <c r="I280" s="276" t="s">
        <v>869</v>
      </c>
      <c r="J280" s="276" t="s">
        <v>593</v>
      </c>
      <c r="K280" s="125"/>
      <c r="L280" s="125"/>
      <c r="M280" s="83"/>
      <c r="N280" s="82"/>
      <c r="O280" s="82"/>
      <c r="P280" s="82"/>
      <c r="Q280" s="82"/>
      <c r="R280" s="82"/>
      <c r="S280" s="82"/>
    </row>
    <row r="281" spans="1:19" ht="58.15" customHeight="1" x14ac:dyDescent="0.25">
      <c r="A281" s="156" t="s">
        <v>793</v>
      </c>
      <c r="B281" s="95">
        <v>45023</v>
      </c>
      <c r="C281" s="95">
        <v>45023</v>
      </c>
      <c r="D281" s="276" t="s">
        <v>172</v>
      </c>
      <c r="E281" s="276" t="s">
        <v>794</v>
      </c>
      <c r="F281" s="276" t="s">
        <v>173</v>
      </c>
      <c r="G281" s="276" t="s">
        <v>222</v>
      </c>
      <c r="H281" s="276" t="s">
        <v>415</v>
      </c>
      <c r="I281" s="276" t="s">
        <v>795</v>
      </c>
      <c r="J281" s="276" t="s">
        <v>593</v>
      </c>
      <c r="K281" s="125"/>
      <c r="L281" s="125"/>
      <c r="M281" s="83"/>
      <c r="N281" s="82"/>
      <c r="O281" s="82"/>
      <c r="P281" s="82"/>
      <c r="Q281" s="82"/>
      <c r="R281" s="82"/>
      <c r="S281" s="82"/>
    </row>
    <row r="282" spans="1:19" ht="135" x14ac:dyDescent="0.25">
      <c r="A282" s="156" t="s">
        <v>796</v>
      </c>
      <c r="B282" s="95">
        <v>45023</v>
      </c>
      <c r="C282" s="95">
        <v>45023</v>
      </c>
      <c r="D282" s="276" t="s">
        <v>430</v>
      </c>
      <c r="E282" s="276" t="s">
        <v>797</v>
      </c>
      <c r="F282" s="276" t="s">
        <v>171</v>
      </c>
      <c r="G282" s="276" t="s">
        <v>400</v>
      </c>
      <c r="H282" s="276" t="s">
        <v>415</v>
      </c>
      <c r="I282" s="192" t="s">
        <v>798</v>
      </c>
      <c r="J282" s="276" t="s">
        <v>593</v>
      </c>
      <c r="K282" s="125"/>
      <c r="L282" s="125"/>
      <c r="M282" s="83"/>
      <c r="N282" s="82"/>
      <c r="O282" s="82"/>
      <c r="P282" s="82"/>
      <c r="Q282" s="82"/>
      <c r="R282" s="82"/>
      <c r="S282" s="82"/>
    </row>
    <row r="283" spans="1:19" ht="60" x14ac:dyDescent="0.25">
      <c r="A283" s="156" t="s">
        <v>799</v>
      </c>
      <c r="B283" s="95">
        <v>45024</v>
      </c>
      <c r="C283" s="95">
        <v>45024</v>
      </c>
      <c r="D283" s="276" t="s">
        <v>430</v>
      </c>
      <c r="E283" s="276" t="s">
        <v>800</v>
      </c>
      <c r="F283" s="276" t="s">
        <v>171</v>
      </c>
      <c r="G283" s="192" t="s">
        <v>839</v>
      </c>
      <c r="H283" s="276" t="s">
        <v>415</v>
      </c>
      <c r="I283" s="276" t="s">
        <v>801</v>
      </c>
      <c r="J283" s="276" t="s">
        <v>593</v>
      </c>
      <c r="K283" s="125"/>
      <c r="L283" s="125"/>
      <c r="M283" s="83"/>
      <c r="N283" s="82"/>
      <c r="O283" s="82"/>
      <c r="P283" s="82"/>
      <c r="Q283" s="82"/>
      <c r="R283" s="82"/>
      <c r="S283" s="82"/>
    </row>
    <row r="284" spans="1:19" ht="151.15" customHeight="1" x14ac:dyDescent="0.25">
      <c r="A284" s="156" t="s">
        <v>802</v>
      </c>
      <c r="B284" s="95">
        <v>45025</v>
      </c>
      <c r="C284" s="95">
        <v>45025</v>
      </c>
      <c r="D284" s="276" t="s">
        <v>171</v>
      </c>
      <c r="E284" s="276" t="s">
        <v>803</v>
      </c>
      <c r="F284" s="276" t="s">
        <v>531</v>
      </c>
      <c r="G284" s="276" t="s">
        <v>353</v>
      </c>
      <c r="H284" s="276" t="s">
        <v>415</v>
      </c>
      <c r="I284" s="276" t="s">
        <v>804</v>
      </c>
      <c r="J284" s="276" t="s">
        <v>593</v>
      </c>
      <c r="K284" s="125"/>
      <c r="L284" s="125"/>
      <c r="M284" s="83"/>
      <c r="N284" s="82"/>
      <c r="O284" s="82"/>
      <c r="P284" s="82"/>
      <c r="Q284" s="82"/>
      <c r="R284" s="82"/>
      <c r="S284" s="82"/>
    </row>
    <row r="285" spans="1:19" ht="91.9" customHeight="1" x14ac:dyDescent="0.25">
      <c r="A285" s="156" t="s">
        <v>805</v>
      </c>
      <c r="B285" s="95">
        <v>45031</v>
      </c>
      <c r="C285" s="95">
        <v>45038</v>
      </c>
      <c r="D285" s="276" t="s">
        <v>531</v>
      </c>
      <c r="E285" s="276" t="s">
        <v>806</v>
      </c>
      <c r="F285" s="276" t="s">
        <v>192</v>
      </c>
      <c r="G285" s="192" t="s">
        <v>886</v>
      </c>
      <c r="H285" s="276" t="s">
        <v>415</v>
      </c>
      <c r="I285" s="276" t="s">
        <v>900</v>
      </c>
      <c r="J285" s="276" t="s">
        <v>593</v>
      </c>
      <c r="K285" s="125"/>
      <c r="L285" s="125"/>
      <c r="M285" s="83"/>
      <c r="N285" s="82"/>
      <c r="O285" s="82"/>
      <c r="P285" s="82"/>
      <c r="Q285" s="82"/>
      <c r="R285" s="82"/>
      <c r="S285" s="82"/>
    </row>
    <row r="286" spans="1:19" ht="55.9" customHeight="1" x14ac:dyDescent="0.25">
      <c r="A286" s="156" t="s">
        <v>807</v>
      </c>
      <c r="B286" s="95">
        <v>45047</v>
      </c>
      <c r="C286" s="95">
        <v>45047</v>
      </c>
      <c r="D286" s="276" t="s">
        <v>808</v>
      </c>
      <c r="E286" s="276" t="s">
        <v>767</v>
      </c>
      <c r="F286" s="276" t="s">
        <v>456</v>
      </c>
      <c r="G286" s="276" t="s">
        <v>481</v>
      </c>
      <c r="H286" s="276" t="s">
        <v>415</v>
      </c>
      <c r="I286" s="192" t="s">
        <v>809</v>
      </c>
      <c r="J286" s="276" t="s">
        <v>593</v>
      </c>
      <c r="K286" s="139"/>
      <c r="L286" s="139"/>
      <c r="M286" s="95"/>
      <c r="N286" s="276"/>
      <c r="O286" s="276"/>
      <c r="P286" s="276"/>
      <c r="Q286" s="276"/>
      <c r="R286" s="82"/>
      <c r="S286" s="82"/>
    </row>
    <row r="287" spans="1:19" ht="81.599999999999994" customHeight="1" x14ac:dyDescent="0.25">
      <c r="A287" s="146" t="s">
        <v>132</v>
      </c>
      <c r="B287" s="83">
        <v>45047</v>
      </c>
      <c r="C287" s="83">
        <v>45047</v>
      </c>
      <c r="D287" s="82" t="s">
        <v>516</v>
      </c>
      <c r="E287" s="82" t="s">
        <v>1111</v>
      </c>
      <c r="F287" s="82" t="s">
        <v>595</v>
      </c>
      <c r="G287" s="82" t="s">
        <v>579</v>
      </c>
      <c r="H287" s="82" t="s">
        <v>415</v>
      </c>
      <c r="I287" s="82" t="s">
        <v>1112</v>
      </c>
      <c r="J287" s="255" t="s">
        <v>593</v>
      </c>
      <c r="K287" s="82" t="s">
        <v>132</v>
      </c>
      <c r="L287" s="82"/>
      <c r="M287" s="83"/>
      <c r="N287" s="82"/>
      <c r="O287" s="82"/>
      <c r="P287" s="82"/>
      <c r="Q287" s="82"/>
      <c r="R287" s="125"/>
      <c r="S287" s="82"/>
    </row>
    <row r="288" spans="1:19" ht="60" x14ac:dyDescent="0.25">
      <c r="A288" s="189" t="s">
        <v>760</v>
      </c>
      <c r="B288" s="109">
        <v>45048</v>
      </c>
      <c r="C288" s="109">
        <v>45048</v>
      </c>
      <c r="D288" s="91" t="s">
        <v>831</v>
      </c>
      <c r="E288" s="91" t="s">
        <v>832</v>
      </c>
      <c r="F288" s="253" t="s">
        <v>195</v>
      </c>
      <c r="G288" s="253" t="s">
        <v>833</v>
      </c>
      <c r="H288" s="91" t="s">
        <v>415</v>
      </c>
      <c r="I288" s="254" t="s">
        <v>834</v>
      </c>
      <c r="J288" s="91" t="s">
        <v>593</v>
      </c>
      <c r="K288" s="136"/>
      <c r="L288" s="136"/>
      <c r="M288" s="109"/>
      <c r="N288" s="91"/>
      <c r="O288" s="91"/>
      <c r="P288" s="91"/>
      <c r="Q288" s="91"/>
      <c r="R288" s="276"/>
      <c r="S288" s="276"/>
    </row>
    <row r="289" spans="1:20" s="221" customFormat="1" ht="40.9" customHeight="1" x14ac:dyDescent="0.25">
      <c r="A289" s="414" t="s">
        <v>836</v>
      </c>
      <c r="B289" s="415"/>
      <c r="C289" s="415"/>
      <c r="D289" s="415"/>
      <c r="E289" s="415"/>
      <c r="F289" s="415"/>
      <c r="G289" s="415"/>
      <c r="H289" s="415"/>
      <c r="I289" s="415"/>
      <c r="J289" s="415"/>
      <c r="K289" s="415"/>
      <c r="L289" s="415"/>
      <c r="M289" s="415"/>
      <c r="N289" s="415"/>
      <c r="O289" s="415"/>
      <c r="P289" s="415"/>
      <c r="Q289" s="415"/>
      <c r="R289" s="415"/>
      <c r="S289" s="416"/>
      <c r="T289" s="231"/>
    </row>
    <row r="290" spans="1:20" ht="75" x14ac:dyDescent="0.25">
      <c r="A290" s="146" t="s">
        <v>841</v>
      </c>
      <c r="B290" s="83">
        <v>45066</v>
      </c>
      <c r="C290" s="83">
        <v>45066</v>
      </c>
      <c r="D290" s="82" t="s">
        <v>789</v>
      </c>
      <c r="E290" s="82" t="s">
        <v>811</v>
      </c>
      <c r="F290" s="82" t="s">
        <v>156</v>
      </c>
      <c r="G290" s="82" t="s">
        <v>195</v>
      </c>
      <c r="H290" s="82" t="s">
        <v>812</v>
      </c>
      <c r="I290" s="82" t="s">
        <v>813</v>
      </c>
      <c r="J290" s="82" t="s">
        <v>593</v>
      </c>
      <c r="K290" s="135"/>
      <c r="L290" s="135"/>
      <c r="M290" s="127"/>
      <c r="N290" s="122"/>
      <c r="O290" s="122"/>
      <c r="P290" s="122"/>
      <c r="Q290" s="122"/>
      <c r="R290" s="122"/>
      <c r="S290" s="122"/>
    </row>
    <row r="291" spans="1:20" ht="60" x14ac:dyDescent="0.25">
      <c r="A291" s="189" t="s">
        <v>814</v>
      </c>
      <c r="B291" s="109">
        <v>45066</v>
      </c>
      <c r="C291" s="109">
        <v>45066</v>
      </c>
      <c r="D291" s="91" t="s">
        <v>654</v>
      </c>
      <c r="E291" s="91" t="s">
        <v>815</v>
      </c>
      <c r="F291" s="91" t="s">
        <v>377</v>
      </c>
      <c r="G291" s="91" t="s">
        <v>195</v>
      </c>
      <c r="H291" s="91" t="s">
        <v>812</v>
      </c>
      <c r="I291" s="91" t="s">
        <v>816</v>
      </c>
      <c r="J291" s="91" t="s">
        <v>593</v>
      </c>
      <c r="K291" s="125"/>
      <c r="L291" s="125"/>
      <c r="M291" s="83"/>
      <c r="N291" s="82"/>
      <c r="O291" s="82"/>
      <c r="P291" s="82"/>
      <c r="Q291" s="82"/>
      <c r="R291" s="82"/>
      <c r="S291" s="82"/>
    </row>
    <row r="292" spans="1:20" ht="63.6" customHeight="1" x14ac:dyDescent="0.25">
      <c r="A292" s="156" t="s">
        <v>817</v>
      </c>
      <c r="B292" s="95">
        <v>45067</v>
      </c>
      <c r="C292" s="95">
        <v>45067</v>
      </c>
      <c r="D292" s="276" t="s">
        <v>172</v>
      </c>
      <c r="E292" s="276" t="s">
        <v>818</v>
      </c>
      <c r="F292" s="276" t="s">
        <v>173</v>
      </c>
      <c r="G292" s="276" t="s">
        <v>222</v>
      </c>
      <c r="H292" s="276" t="s">
        <v>812</v>
      </c>
      <c r="I292" s="276" t="s">
        <v>825</v>
      </c>
      <c r="J292" s="276" t="s">
        <v>593</v>
      </c>
      <c r="K292" s="125"/>
      <c r="L292" s="125"/>
      <c r="M292" s="83"/>
      <c r="N292" s="82"/>
      <c r="O292" s="82"/>
      <c r="P292" s="82"/>
      <c r="Q292" s="82"/>
      <c r="R292" s="82"/>
      <c r="S292" s="82"/>
    </row>
    <row r="293" spans="1:20" ht="135" x14ac:dyDescent="0.25">
      <c r="A293" s="156" t="s">
        <v>819</v>
      </c>
      <c r="B293" s="95">
        <v>45067</v>
      </c>
      <c r="C293" s="95">
        <v>45067</v>
      </c>
      <c r="D293" s="276" t="s">
        <v>430</v>
      </c>
      <c r="E293" s="276" t="s">
        <v>870</v>
      </c>
      <c r="F293" s="276" t="s">
        <v>171</v>
      </c>
      <c r="G293" s="276" t="s">
        <v>400</v>
      </c>
      <c r="H293" s="276" t="s">
        <v>812</v>
      </c>
      <c r="I293" s="276" t="s">
        <v>824</v>
      </c>
      <c r="J293" s="276" t="s">
        <v>593</v>
      </c>
      <c r="K293" s="125"/>
      <c r="L293" s="125"/>
      <c r="M293" s="83"/>
      <c r="N293" s="82"/>
      <c r="O293" s="82"/>
      <c r="P293" s="82"/>
      <c r="Q293" s="82"/>
      <c r="R293" s="82"/>
      <c r="S293" s="82"/>
    </row>
    <row r="294" spans="1:20" ht="75" x14ac:dyDescent="0.25">
      <c r="A294" s="156" t="s">
        <v>820</v>
      </c>
      <c r="B294" s="95">
        <v>45068</v>
      </c>
      <c r="C294" s="95">
        <v>45075</v>
      </c>
      <c r="D294" s="276" t="s">
        <v>430</v>
      </c>
      <c r="E294" s="276" t="s">
        <v>821</v>
      </c>
      <c r="F294" s="276" t="s">
        <v>171</v>
      </c>
      <c r="G294" s="192" t="s">
        <v>871</v>
      </c>
      <c r="H294" s="276" t="s">
        <v>812</v>
      </c>
      <c r="I294" s="276" t="s">
        <v>899</v>
      </c>
      <c r="J294" s="276" t="s">
        <v>593</v>
      </c>
      <c r="K294" s="125"/>
      <c r="L294" s="125"/>
      <c r="M294" s="83"/>
      <c r="N294" s="82"/>
      <c r="O294" s="82"/>
      <c r="P294" s="82"/>
      <c r="Q294" s="82"/>
      <c r="R294" s="82"/>
      <c r="S294" s="82"/>
    </row>
    <row r="295" spans="1:20" ht="149.44999999999999" customHeight="1" x14ac:dyDescent="0.25">
      <c r="A295" s="156" t="s">
        <v>822</v>
      </c>
      <c r="B295" s="95">
        <v>45076</v>
      </c>
      <c r="C295" s="95">
        <v>45076</v>
      </c>
      <c r="D295" s="276" t="s">
        <v>171</v>
      </c>
      <c r="E295" s="276" t="s">
        <v>823</v>
      </c>
      <c r="F295" s="276" t="s">
        <v>531</v>
      </c>
      <c r="G295" s="276" t="s">
        <v>353</v>
      </c>
      <c r="H295" s="276" t="s">
        <v>812</v>
      </c>
      <c r="I295" s="276" t="s">
        <v>895</v>
      </c>
      <c r="J295" s="276" t="s">
        <v>593</v>
      </c>
      <c r="K295" s="125"/>
      <c r="L295" s="125"/>
      <c r="M295" s="83"/>
      <c r="N295" s="82"/>
      <c r="O295" s="82"/>
      <c r="P295" s="82"/>
      <c r="Q295" s="82"/>
      <c r="R295" s="82"/>
      <c r="S295" s="82"/>
    </row>
    <row r="296" spans="1:20" ht="96" customHeight="1" x14ac:dyDescent="0.25">
      <c r="A296" s="156" t="s">
        <v>826</v>
      </c>
      <c r="B296" s="95">
        <v>45075</v>
      </c>
      <c r="C296" s="95">
        <v>45082</v>
      </c>
      <c r="D296" s="276" t="s">
        <v>531</v>
      </c>
      <c r="E296" s="276" t="s">
        <v>1070</v>
      </c>
      <c r="F296" s="276" t="s">
        <v>192</v>
      </c>
      <c r="G296" s="192" t="s">
        <v>894</v>
      </c>
      <c r="H296" s="276" t="s">
        <v>812</v>
      </c>
      <c r="I296" s="276" t="s">
        <v>898</v>
      </c>
      <c r="J296" s="276" t="s">
        <v>593</v>
      </c>
      <c r="K296" s="125"/>
      <c r="L296" s="125"/>
      <c r="M296" s="83"/>
      <c r="N296" s="82"/>
      <c r="O296" s="82"/>
      <c r="P296" s="82"/>
      <c r="Q296" s="82"/>
      <c r="R296" s="82"/>
      <c r="S296" s="82"/>
    </row>
    <row r="297" spans="1:20" ht="60" x14ac:dyDescent="0.25">
      <c r="A297" s="156" t="s">
        <v>827</v>
      </c>
      <c r="B297" s="95">
        <v>45082</v>
      </c>
      <c r="C297" s="95">
        <v>45082</v>
      </c>
      <c r="D297" s="276" t="s">
        <v>808</v>
      </c>
      <c r="E297" s="276" t="s">
        <v>828</v>
      </c>
      <c r="F297" s="276" t="s">
        <v>456</v>
      </c>
      <c r="G297" s="276" t="s">
        <v>481</v>
      </c>
      <c r="H297" s="276" t="s">
        <v>132</v>
      </c>
      <c r="I297" s="192" t="s">
        <v>896</v>
      </c>
      <c r="J297" s="276" t="s">
        <v>593</v>
      </c>
      <c r="K297" s="125"/>
      <c r="L297" s="125"/>
      <c r="M297" s="83"/>
      <c r="N297" s="82"/>
      <c r="O297" s="82"/>
      <c r="P297" s="82"/>
      <c r="Q297" s="82"/>
      <c r="R297" s="82"/>
      <c r="S297" s="82"/>
    </row>
    <row r="298" spans="1:20" ht="75" x14ac:dyDescent="0.25">
      <c r="A298" s="156" t="s">
        <v>829</v>
      </c>
      <c r="B298" s="95">
        <v>45083</v>
      </c>
      <c r="C298" s="95">
        <v>45083</v>
      </c>
      <c r="D298" s="276" t="s">
        <v>516</v>
      </c>
      <c r="E298" s="276" t="s">
        <v>830</v>
      </c>
      <c r="F298" s="276" t="s">
        <v>595</v>
      </c>
      <c r="G298" s="276" t="s">
        <v>195</v>
      </c>
      <c r="H298" s="276" t="s">
        <v>812</v>
      </c>
      <c r="I298" s="276" t="s">
        <v>1199</v>
      </c>
      <c r="J298" s="276" t="s">
        <v>593</v>
      </c>
      <c r="K298" s="125"/>
      <c r="L298" s="125"/>
      <c r="M298" s="83"/>
      <c r="N298" s="82"/>
      <c r="O298" s="82"/>
      <c r="P298" s="82"/>
      <c r="Q298" s="82"/>
      <c r="R298" s="82"/>
      <c r="S298" s="82"/>
    </row>
    <row r="299" spans="1:20" ht="60" x14ac:dyDescent="0.25">
      <c r="A299" s="156" t="s">
        <v>810</v>
      </c>
      <c r="B299" s="95">
        <v>45083</v>
      </c>
      <c r="C299" s="95">
        <v>45083</v>
      </c>
      <c r="D299" s="276" t="s">
        <v>831</v>
      </c>
      <c r="E299" s="276" t="s">
        <v>835</v>
      </c>
      <c r="F299" s="207" t="s">
        <v>195</v>
      </c>
      <c r="G299" s="207" t="s">
        <v>833</v>
      </c>
      <c r="H299" s="276" t="s">
        <v>812</v>
      </c>
      <c r="I299" s="192" t="s">
        <v>897</v>
      </c>
      <c r="J299" s="276" t="s">
        <v>593</v>
      </c>
      <c r="K299" s="139"/>
      <c r="L299" s="139"/>
      <c r="M299" s="95"/>
      <c r="N299" s="276"/>
      <c r="O299" s="276"/>
      <c r="P299" s="276"/>
      <c r="Q299" s="276"/>
      <c r="R299" s="276"/>
      <c r="S299" s="276"/>
    </row>
    <row r="300" spans="1:20" ht="29.45" customHeight="1" x14ac:dyDescent="0.25">
      <c r="A300" s="414" t="s">
        <v>838</v>
      </c>
      <c r="B300" s="415"/>
      <c r="C300" s="415"/>
      <c r="D300" s="415"/>
      <c r="E300" s="415"/>
      <c r="F300" s="415"/>
      <c r="G300" s="415"/>
      <c r="H300" s="415"/>
      <c r="I300" s="415"/>
      <c r="J300" s="415"/>
      <c r="K300" s="415"/>
      <c r="L300" s="415"/>
      <c r="M300" s="415"/>
      <c r="N300" s="415"/>
      <c r="O300" s="415"/>
      <c r="P300" s="415"/>
      <c r="Q300" s="415"/>
      <c r="R300" s="415"/>
      <c r="S300" s="416"/>
    </row>
    <row r="301" spans="1:20" ht="90" x14ac:dyDescent="0.25">
      <c r="A301" s="156" t="s">
        <v>841</v>
      </c>
      <c r="B301" s="95">
        <v>45062</v>
      </c>
      <c r="C301" s="95">
        <v>45062</v>
      </c>
      <c r="D301" s="276" t="s">
        <v>789</v>
      </c>
      <c r="E301" s="276" t="s">
        <v>878</v>
      </c>
      <c r="F301" s="276" t="s">
        <v>156</v>
      </c>
      <c r="G301" s="276" t="s">
        <v>195</v>
      </c>
      <c r="H301" s="276" t="s">
        <v>842</v>
      </c>
      <c r="I301" s="276" t="s">
        <v>843</v>
      </c>
      <c r="J301" s="276" t="s">
        <v>593</v>
      </c>
      <c r="K301" s="135"/>
      <c r="L301" s="135"/>
      <c r="M301" s="127"/>
      <c r="N301" s="122"/>
      <c r="O301" s="122"/>
      <c r="P301" s="122"/>
      <c r="Q301" s="122"/>
      <c r="R301" s="122"/>
      <c r="S301" s="122"/>
    </row>
    <row r="302" spans="1:20" ht="60" x14ac:dyDescent="0.25">
      <c r="A302" s="276" t="s">
        <v>844</v>
      </c>
      <c r="B302" s="95">
        <v>45063</v>
      </c>
      <c r="C302" s="95">
        <v>45063</v>
      </c>
      <c r="D302" s="276" t="s">
        <v>847</v>
      </c>
      <c r="E302" s="276" t="s">
        <v>846</v>
      </c>
      <c r="F302" s="276" t="s">
        <v>156</v>
      </c>
      <c r="G302" s="276" t="s">
        <v>195</v>
      </c>
      <c r="H302" s="276" t="s">
        <v>842</v>
      </c>
      <c r="I302" s="276" t="s">
        <v>849</v>
      </c>
      <c r="J302" s="276" t="s">
        <v>593</v>
      </c>
      <c r="K302" s="125"/>
      <c r="L302" s="125"/>
      <c r="M302" s="83"/>
      <c r="N302" s="82"/>
      <c r="O302" s="82"/>
      <c r="P302" s="82"/>
      <c r="Q302" s="82"/>
      <c r="R302" s="82"/>
      <c r="S302" s="82"/>
    </row>
    <row r="303" spans="1:20" ht="75" x14ac:dyDescent="0.25">
      <c r="A303" s="156" t="s">
        <v>845</v>
      </c>
      <c r="B303" s="95">
        <v>45063</v>
      </c>
      <c r="C303" s="95">
        <v>45063</v>
      </c>
      <c r="D303" s="276" t="s">
        <v>172</v>
      </c>
      <c r="E303" s="276" t="s">
        <v>848</v>
      </c>
      <c r="F303" s="276" t="s">
        <v>173</v>
      </c>
      <c r="G303" s="276" t="s">
        <v>222</v>
      </c>
      <c r="H303" s="276" t="s">
        <v>842</v>
      </c>
      <c r="I303" s="276" t="s">
        <v>850</v>
      </c>
      <c r="J303" s="276" t="s">
        <v>593</v>
      </c>
      <c r="K303" s="125"/>
      <c r="L303" s="125"/>
      <c r="M303" s="83"/>
      <c r="N303" s="82"/>
      <c r="O303" s="82"/>
      <c r="P303" s="82"/>
      <c r="Q303" s="82"/>
      <c r="R303" s="82"/>
      <c r="S303" s="82"/>
    </row>
    <row r="304" spans="1:20" ht="75" x14ac:dyDescent="0.25">
      <c r="A304" s="156" t="s">
        <v>851</v>
      </c>
      <c r="B304" s="95">
        <v>45068</v>
      </c>
      <c r="C304" s="95">
        <v>45075</v>
      </c>
      <c r="D304" s="276" t="s">
        <v>430</v>
      </c>
      <c r="E304" s="276" t="s">
        <v>887</v>
      </c>
      <c r="F304" s="276" t="s">
        <v>171</v>
      </c>
      <c r="G304" s="276" t="s">
        <v>888</v>
      </c>
      <c r="H304" s="276" t="s">
        <v>842</v>
      </c>
      <c r="I304" s="276" t="s">
        <v>889</v>
      </c>
      <c r="J304" s="276" t="s">
        <v>593</v>
      </c>
      <c r="K304" s="125"/>
      <c r="L304" s="125"/>
      <c r="M304" s="83"/>
      <c r="N304" s="82"/>
      <c r="O304" s="82"/>
      <c r="P304" s="82"/>
      <c r="Q304" s="82"/>
      <c r="R304" s="82"/>
      <c r="S304" s="82"/>
    </row>
    <row r="305" spans="1:19" ht="151.15" customHeight="1" x14ac:dyDescent="0.25">
      <c r="A305" s="156" t="s">
        <v>852</v>
      </c>
      <c r="B305" s="95">
        <v>45069</v>
      </c>
      <c r="C305" s="95">
        <v>45075</v>
      </c>
      <c r="D305" s="276" t="s">
        <v>171</v>
      </c>
      <c r="E305" s="276" t="s">
        <v>853</v>
      </c>
      <c r="F305" s="276" t="s">
        <v>531</v>
      </c>
      <c r="G305" s="276" t="s">
        <v>353</v>
      </c>
      <c r="H305" s="276" t="s">
        <v>842</v>
      </c>
      <c r="I305" s="276" t="s">
        <v>893</v>
      </c>
      <c r="J305" s="276" t="s">
        <v>593</v>
      </c>
      <c r="K305" s="139"/>
      <c r="L305" s="139"/>
      <c r="M305" s="95"/>
      <c r="N305" s="276"/>
      <c r="O305" s="276"/>
      <c r="P305" s="276"/>
      <c r="Q305" s="276"/>
      <c r="R305" s="82"/>
      <c r="S305" s="82"/>
    </row>
    <row r="306" spans="1:19" ht="75" x14ac:dyDescent="0.25">
      <c r="A306" s="156" t="s">
        <v>854</v>
      </c>
      <c r="B306" s="95">
        <v>45075</v>
      </c>
      <c r="C306" s="95">
        <v>45082</v>
      </c>
      <c r="D306" s="276" t="s">
        <v>880</v>
      </c>
      <c r="E306" s="276" t="s">
        <v>885</v>
      </c>
      <c r="F306" s="276" t="s">
        <v>882</v>
      </c>
      <c r="G306" s="192" t="s">
        <v>884</v>
      </c>
      <c r="H306" s="276" t="s">
        <v>842</v>
      </c>
      <c r="I306" s="276" t="s">
        <v>890</v>
      </c>
      <c r="J306" s="232" t="s">
        <v>593</v>
      </c>
      <c r="K306" s="156" t="s">
        <v>879</v>
      </c>
      <c r="L306" s="276"/>
      <c r="M306" s="95"/>
      <c r="N306" s="276"/>
      <c r="O306" s="276"/>
      <c r="P306" s="276"/>
      <c r="Q306" s="276"/>
      <c r="R306" s="125"/>
      <c r="S306" s="82"/>
    </row>
    <row r="307" spans="1:19" ht="76.900000000000006" customHeight="1" x14ac:dyDescent="0.25">
      <c r="A307" s="156" t="s">
        <v>855</v>
      </c>
      <c r="B307" s="95">
        <v>45082</v>
      </c>
      <c r="C307" s="95">
        <v>45089</v>
      </c>
      <c r="D307" s="276" t="s">
        <v>880</v>
      </c>
      <c r="E307" s="276" t="s">
        <v>883</v>
      </c>
      <c r="F307" s="276" t="s">
        <v>192</v>
      </c>
      <c r="G307" s="82" t="s">
        <v>892</v>
      </c>
      <c r="H307" s="276" t="s">
        <v>842</v>
      </c>
      <c r="I307" s="276" t="s">
        <v>891</v>
      </c>
      <c r="J307" s="232" t="s">
        <v>593</v>
      </c>
      <c r="K307" s="146" t="s">
        <v>879</v>
      </c>
      <c r="L307" s="82"/>
      <c r="M307" s="83"/>
      <c r="N307" s="82"/>
      <c r="O307" s="82"/>
      <c r="P307" s="82"/>
      <c r="Q307" s="82"/>
      <c r="R307" s="125"/>
      <c r="S307" s="82"/>
    </row>
    <row r="308" spans="1:19" ht="61.15" customHeight="1" x14ac:dyDescent="0.25">
      <c r="A308" s="146" t="s">
        <v>858</v>
      </c>
      <c r="B308" s="83">
        <v>45090</v>
      </c>
      <c r="C308" s="83">
        <v>45090</v>
      </c>
      <c r="D308" s="82" t="s">
        <v>808</v>
      </c>
      <c r="E308" s="82" t="s">
        <v>901</v>
      </c>
      <c r="F308" s="82" t="s">
        <v>456</v>
      </c>
      <c r="G308" s="110" t="s">
        <v>481</v>
      </c>
      <c r="H308" s="82" t="s">
        <v>842</v>
      </c>
      <c r="I308" s="82" t="s">
        <v>902</v>
      </c>
      <c r="J308" s="82" t="s">
        <v>593</v>
      </c>
      <c r="K308" s="233"/>
      <c r="L308" s="135"/>
      <c r="M308" s="127"/>
      <c r="N308" s="122"/>
      <c r="O308" s="122"/>
      <c r="P308" s="122"/>
      <c r="Q308" s="122"/>
      <c r="R308" s="125"/>
      <c r="S308" s="82"/>
    </row>
    <row r="309" spans="1:19" ht="75" x14ac:dyDescent="0.25">
      <c r="A309" s="168" t="s">
        <v>860</v>
      </c>
      <c r="B309" s="127">
        <v>45091</v>
      </c>
      <c r="C309" s="127">
        <v>45091</v>
      </c>
      <c r="D309" s="122" t="s">
        <v>516</v>
      </c>
      <c r="E309" s="122" t="s">
        <v>1080</v>
      </c>
      <c r="F309" s="122" t="s">
        <v>903</v>
      </c>
      <c r="G309" s="122" t="s">
        <v>195</v>
      </c>
      <c r="H309" s="122" t="s">
        <v>842</v>
      </c>
      <c r="I309" s="122" t="s">
        <v>1200</v>
      </c>
      <c r="J309" s="122" t="s">
        <v>593</v>
      </c>
      <c r="K309" s="125"/>
      <c r="L309" s="125"/>
      <c r="M309" s="83"/>
      <c r="N309" s="82"/>
      <c r="O309" s="82"/>
      <c r="P309" s="82"/>
      <c r="Q309" s="82"/>
      <c r="R309" s="82"/>
      <c r="S309" s="82"/>
    </row>
    <row r="310" spans="1:19" ht="60" x14ac:dyDescent="0.25">
      <c r="A310" s="82" t="s">
        <v>862</v>
      </c>
      <c r="B310" s="236"/>
      <c r="C310" s="236"/>
      <c r="D310" s="82" t="s">
        <v>856</v>
      </c>
      <c r="E310" s="82" t="s">
        <v>857</v>
      </c>
      <c r="F310" s="82" t="s">
        <v>456</v>
      </c>
      <c r="G310" s="82" t="s">
        <v>864</v>
      </c>
      <c r="H310" s="82" t="s">
        <v>842</v>
      </c>
      <c r="I310" s="82" t="s">
        <v>859</v>
      </c>
      <c r="J310" s="82" t="s">
        <v>593</v>
      </c>
      <c r="K310" s="135"/>
      <c r="L310" s="135"/>
      <c r="M310" s="127"/>
      <c r="N310" s="122"/>
      <c r="O310" s="122"/>
      <c r="P310" s="122"/>
      <c r="Q310" s="122"/>
      <c r="R310" s="82"/>
      <c r="S310" s="82"/>
    </row>
    <row r="311" spans="1:19" ht="60" x14ac:dyDescent="0.25">
      <c r="A311" s="91" t="s">
        <v>866</v>
      </c>
      <c r="B311" s="189"/>
      <c r="C311" s="189"/>
      <c r="D311" s="91" t="s">
        <v>430</v>
      </c>
      <c r="E311" s="91" t="s">
        <v>863</v>
      </c>
      <c r="F311" s="91" t="s">
        <v>861</v>
      </c>
      <c r="G311" s="91"/>
      <c r="H311" s="91" t="s">
        <v>842</v>
      </c>
      <c r="I311" s="91" t="s">
        <v>865</v>
      </c>
      <c r="J311" s="91" t="s">
        <v>593</v>
      </c>
      <c r="K311" s="125"/>
      <c r="L311" s="125"/>
      <c r="M311" s="83"/>
      <c r="N311" s="82"/>
      <c r="O311" s="82"/>
      <c r="P311" s="82"/>
      <c r="Q311" s="82"/>
      <c r="R311" s="82"/>
      <c r="S311" s="82"/>
    </row>
    <row r="312" spans="1:19" ht="60" x14ac:dyDescent="0.25">
      <c r="A312" s="276" t="s">
        <v>881</v>
      </c>
      <c r="B312" s="156"/>
      <c r="C312" s="156"/>
      <c r="D312" s="276" t="s">
        <v>155</v>
      </c>
      <c r="E312" s="276" t="s">
        <v>867</v>
      </c>
      <c r="F312" s="276"/>
      <c r="G312" s="237" t="s">
        <v>840</v>
      </c>
      <c r="H312" s="276" t="s">
        <v>842</v>
      </c>
      <c r="I312" s="276" t="s">
        <v>868</v>
      </c>
      <c r="J312" s="276" t="s">
        <v>593</v>
      </c>
      <c r="K312" s="139"/>
      <c r="L312" s="139"/>
      <c r="M312" s="95"/>
      <c r="N312" s="276"/>
      <c r="O312" s="276"/>
      <c r="P312" s="276"/>
      <c r="Q312" s="276"/>
      <c r="R312" s="276"/>
      <c r="S312" s="276"/>
    </row>
    <row r="313" spans="1:19" ht="46.9" customHeight="1" x14ac:dyDescent="0.25">
      <c r="A313" s="425" t="s">
        <v>929</v>
      </c>
      <c r="B313" s="426"/>
      <c r="C313" s="426"/>
      <c r="D313" s="426"/>
      <c r="E313" s="426"/>
      <c r="F313" s="426"/>
      <c r="G313" s="426"/>
      <c r="H313" s="426"/>
      <c r="I313" s="426"/>
      <c r="J313" s="426"/>
      <c r="K313" s="426"/>
      <c r="L313" s="426"/>
      <c r="M313" s="426"/>
      <c r="N313" s="426"/>
      <c r="O313" s="426"/>
      <c r="P313" s="426"/>
      <c r="Q313" s="426"/>
      <c r="R313" s="426"/>
      <c r="S313" s="427"/>
    </row>
    <row r="314" spans="1:19" ht="99.6" customHeight="1" x14ac:dyDescent="0.25">
      <c r="A314" s="189" t="s">
        <v>904</v>
      </c>
      <c r="B314" s="109">
        <v>44978</v>
      </c>
      <c r="C314" s="109">
        <v>44978</v>
      </c>
      <c r="D314" s="91" t="s">
        <v>789</v>
      </c>
      <c r="E314" s="91" t="s">
        <v>905</v>
      </c>
      <c r="F314" s="91" t="s">
        <v>156</v>
      </c>
      <c r="G314" s="91"/>
      <c r="H314" s="91" t="s">
        <v>265</v>
      </c>
      <c r="I314" s="91" t="s">
        <v>1051</v>
      </c>
      <c r="J314" s="91" t="s">
        <v>593</v>
      </c>
      <c r="K314" s="135"/>
      <c r="L314" s="135"/>
      <c r="M314" s="127"/>
      <c r="N314" s="122"/>
      <c r="O314" s="122"/>
      <c r="P314" s="122"/>
      <c r="Q314" s="122"/>
      <c r="R314" s="122"/>
      <c r="S314" s="122"/>
    </row>
    <row r="315" spans="1:19" ht="63" customHeight="1" x14ac:dyDescent="0.25">
      <c r="A315" s="156" t="s">
        <v>906</v>
      </c>
      <c r="B315" s="95">
        <v>44978</v>
      </c>
      <c r="C315" s="95">
        <v>44978</v>
      </c>
      <c r="D315" s="276" t="s">
        <v>172</v>
      </c>
      <c r="E315" s="276" t="s">
        <v>909</v>
      </c>
      <c r="F315" s="276" t="s">
        <v>173</v>
      </c>
      <c r="G315" s="276" t="s">
        <v>222</v>
      </c>
      <c r="H315" s="276" t="s">
        <v>265</v>
      </c>
      <c r="I315" s="276" t="s">
        <v>1052</v>
      </c>
      <c r="J315" s="276" t="s">
        <v>593</v>
      </c>
      <c r="K315" s="125"/>
      <c r="L315" s="125"/>
      <c r="M315" s="83"/>
      <c r="N315" s="82"/>
      <c r="O315" s="82"/>
      <c r="P315" s="82"/>
      <c r="Q315" s="82"/>
      <c r="R315" s="82"/>
      <c r="S315" s="82"/>
    </row>
    <row r="316" spans="1:19" ht="90" x14ac:dyDescent="0.25">
      <c r="A316" s="156" t="s">
        <v>907</v>
      </c>
      <c r="B316" s="95">
        <v>44978</v>
      </c>
      <c r="C316" s="95">
        <v>44985</v>
      </c>
      <c r="D316" s="276" t="s">
        <v>170</v>
      </c>
      <c r="E316" s="276" t="s">
        <v>1072</v>
      </c>
      <c r="F316" s="276" t="s">
        <v>171</v>
      </c>
      <c r="G316" s="192" t="s">
        <v>1050</v>
      </c>
      <c r="H316" s="276" t="s">
        <v>265</v>
      </c>
      <c r="I316" s="276" t="s">
        <v>1073</v>
      </c>
      <c r="J316" s="276" t="s">
        <v>593</v>
      </c>
      <c r="K316" s="125"/>
      <c r="L316" s="125"/>
      <c r="M316" s="83"/>
      <c r="N316" s="82"/>
      <c r="O316" s="82"/>
      <c r="P316" s="82"/>
      <c r="Q316" s="82"/>
      <c r="R316" s="82"/>
      <c r="S316" s="82"/>
    </row>
    <row r="317" spans="1:19" ht="150" x14ac:dyDescent="0.25">
      <c r="A317" s="156" t="s">
        <v>908</v>
      </c>
      <c r="B317" s="95">
        <v>44985</v>
      </c>
      <c r="C317" s="95">
        <v>44985</v>
      </c>
      <c r="D317" s="276" t="s">
        <v>171</v>
      </c>
      <c r="E317" s="276" t="s">
        <v>910</v>
      </c>
      <c r="F317" s="276" t="s">
        <v>531</v>
      </c>
      <c r="G317" s="276" t="s">
        <v>358</v>
      </c>
      <c r="H317" s="276" t="s">
        <v>265</v>
      </c>
      <c r="I317" s="276" t="s">
        <v>911</v>
      </c>
      <c r="J317" s="276" t="s">
        <v>593</v>
      </c>
      <c r="K317" s="125"/>
      <c r="L317" s="125"/>
      <c r="M317" s="83"/>
      <c r="N317" s="82"/>
      <c r="O317" s="82"/>
      <c r="P317" s="82"/>
      <c r="Q317" s="82"/>
      <c r="R317" s="82"/>
      <c r="S317" s="82"/>
    </row>
    <row r="318" spans="1:19" ht="75" x14ac:dyDescent="0.25">
      <c r="A318" s="156" t="s">
        <v>912</v>
      </c>
      <c r="B318" s="95">
        <v>44986</v>
      </c>
      <c r="C318" s="95">
        <v>44993</v>
      </c>
      <c r="D318" s="276" t="s">
        <v>913</v>
      </c>
      <c r="E318" s="276" t="s">
        <v>914</v>
      </c>
      <c r="F318" s="276" t="s">
        <v>192</v>
      </c>
      <c r="G318" s="276" t="s">
        <v>979</v>
      </c>
      <c r="H318" s="276" t="s">
        <v>265</v>
      </c>
      <c r="I318" s="276" t="s">
        <v>1066</v>
      </c>
      <c r="J318" s="276" t="s">
        <v>593</v>
      </c>
      <c r="K318" s="125"/>
      <c r="L318" s="125"/>
      <c r="M318" s="83"/>
      <c r="N318" s="82"/>
      <c r="O318" s="82"/>
      <c r="P318" s="82"/>
      <c r="Q318" s="82"/>
      <c r="R318" s="82"/>
      <c r="S318" s="82"/>
    </row>
    <row r="319" spans="1:19" ht="55.9" customHeight="1" x14ac:dyDescent="0.25">
      <c r="A319" s="156" t="s">
        <v>915</v>
      </c>
      <c r="B319" s="95">
        <v>44994</v>
      </c>
      <c r="C319" s="95">
        <v>44994</v>
      </c>
      <c r="D319" s="276" t="s">
        <v>808</v>
      </c>
      <c r="E319" s="276" t="s">
        <v>967</v>
      </c>
      <c r="F319" s="276" t="s">
        <v>456</v>
      </c>
      <c r="G319" s="276" t="s">
        <v>481</v>
      </c>
      <c r="H319" s="276" t="s">
        <v>265</v>
      </c>
      <c r="I319" s="276" t="s">
        <v>916</v>
      </c>
      <c r="J319" s="276" t="s">
        <v>593</v>
      </c>
      <c r="K319" s="125"/>
      <c r="L319" s="125"/>
      <c r="M319" s="83"/>
      <c r="N319" s="82"/>
      <c r="O319" s="82"/>
      <c r="P319" s="82"/>
      <c r="Q319" s="82"/>
      <c r="R319" s="82"/>
      <c r="S319" s="82"/>
    </row>
    <row r="320" spans="1:19" ht="60" x14ac:dyDescent="0.25">
      <c r="A320" s="156" t="s">
        <v>918</v>
      </c>
      <c r="B320" s="95">
        <v>44995</v>
      </c>
      <c r="C320" s="95">
        <v>44995</v>
      </c>
      <c r="D320" s="276" t="s">
        <v>516</v>
      </c>
      <c r="E320" s="276" t="s">
        <v>917</v>
      </c>
      <c r="F320" s="276" t="s">
        <v>595</v>
      </c>
      <c r="G320" s="276" t="s">
        <v>195</v>
      </c>
      <c r="H320" s="276" t="s">
        <v>265</v>
      </c>
      <c r="I320" s="237" t="s">
        <v>1071</v>
      </c>
      <c r="J320" s="276" t="s">
        <v>593</v>
      </c>
      <c r="K320" s="125"/>
      <c r="L320" s="125"/>
      <c r="M320" s="83"/>
      <c r="N320" s="82"/>
      <c r="O320" s="82"/>
      <c r="P320" s="82"/>
      <c r="Q320" s="82"/>
      <c r="R320" s="82"/>
      <c r="S320" s="82"/>
    </row>
    <row r="321" spans="1:19" ht="60" x14ac:dyDescent="0.25">
      <c r="A321" s="156" t="s">
        <v>919</v>
      </c>
      <c r="B321" s="95">
        <v>44995</v>
      </c>
      <c r="C321" s="95">
        <v>44995</v>
      </c>
      <c r="D321" s="276" t="s">
        <v>831</v>
      </c>
      <c r="E321" s="276" t="s">
        <v>920</v>
      </c>
      <c r="F321" s="276" t="s">
        <v>195</v>
      </c>
      <c r="G321" s="207" t="s">
        <v>833</v>
      </c>
      <c r="H321" s="276" t="s">
        <v>265</v>
      </c>
      <c r="I321" s="276" t="s">
        <v>960</v>
      </c>
      <c r="J321" s="276" t="s">
        <v>593</v>
      </c>
      <c r="K321" s="139"/>
      <c r="L321" s="139"/>
      <c r="M321" s="95"/>
      <c r="N321" s="276"/>
      <c r="O321" s="276"/>
      <c r="P321" s="276"/>
      <c r="Q321" s="276"/>
      <c r="R321" s="276"/>
      <c r="S321" s="276"/>
    </row>
    <row r="322" spans="1:19" ht="50.45" customHeight="1" x14ac:dyDescent="0.25">
      <c r="A322" s="425" t="s">
        <v>930</v>
      </c>
      <c r="B322" s="426"/>
      <c r="C322" s="426"/>
      <c r="D322" s="426"/>
      <c r="E322" s="426"/>
      <c r="F322" s="426"/>
      <c r="G322" s="426"/>
      <c r="H322" s="426"/>
      <c r="I322" s="426"/>
      <c r="J322" s="426"/>
      <c r="K322" s="426"/>
      <c r="L322" s="426"/>
      <c r="M322" s="426"/>
      <c r="N322" s="426"/>
      <c r="O322" s="426"/>
      <c r="P322" s="426"/>
      <c r="Q322" s="426"/>
      <c r="R322" s="426"/>
      <c r="S322" s="427"/>
    </row>
    <row r="323" spans="1:19" ht="85.9" customHeight="1" x14ac:dyDescent="0.25">
      <c r="A323" s="189" t="s">
        <v>921</v>
      </c>
      <c r="B323" s="109">
        <v>44978</v>
      </c>
      <c r="C323" s="109">
        <v>44978</v>
      </c>
      <c r="D323" s="91" t="s">
        <v>789</v>
      </c>
      <c r="E323" s="91" t="s">
        <v>905</v>
      </c>
      <c r="F323" s="91" t="s">
        <v>156</v>
      </c>
      <c r="G323" s="91" t="s">
        <v>195</v>
      </c>
      <c r="H323" s="91" t="s">
        <v>265</v>
      </c>
      <c r="I323" s="91" t="s">
        <v>1053</v>
      </c>
      <c r="J323" s="91" t="s">
        <v>593</v>
      </c>
      <c r="K323" s="135"/>
      <c r="L323" s="135"/>
      <c r="M323" s="127"/>
      <c r="N323" s="122"/>
      <c r="O323" s="122"/>
      <c r="P323" s="122"/>
      <c r="Q323" s="122"/>
      <c r="R323" s="122"/>
      <c r="S323" s="122"/>
    </row>
    <row r="324" spans="1:19" ht="75" x14ac:dyDescent="0.25">
      <c r="A324" s="156" t="s">
        <v>922</v>
      </c>
      <c r="B324" s="95">
        <v>44978</v>
      </c>
      <c r="C324" s="95">
        <v>44978</v>
      </c>
      <c r="D324" s="276" t="s">
        <v>172</v>
      </c>
      <c r="E324" s="276" t="s">
        <v>909</v>
      </c>
      <c r="F324" s="276" t="s">
        <v>173</v>
      </c>
      <c r="G324" s="276" t="s">
        <v>222</v>
      </c>
      <c r="H324" s="276" t="s">
        <v>265</v>
      </c>
      <c r="I324" s="276" t="s">
        <v>1054</v>
      </c>
      <c r="J324" s="276" t="s">
        <v>593</v>
      </c>
      <c r="K324" s="125"/>
      <c r="L324" s="125"/>
      <c r="M324" s="83"/>
      <c r="N324" s="82"/>
      <c r="O324" s="82"/>
      <c r="P324" s="82"/>
      <c r="Q324" s="82"/>
      <c r="R324" s="82"/>
      <c r="S324" s="82"/>
    </row>
    <row r="325" spans="1:19" ht="75" x14ac:dyDescent="0.25">
      <c r="A325" s="156" t="s">
        <v>923</v>
      </c>
      <c r="B325" s="95">
        <v>44978</v>
      </c>
      <c r="C325" s="95">
        <v>44985</v>
      </c>
      <c r="D325" s="276" t="s">
        <v>170</v>
      </c>
      <c r="E325" s="276" t="s">
        <v>1092</v>
      </c>
      <c r="F325" s="276" t="s">
        <v>171</v>
      </c>
      <c r="G325" s="192" t="s">
        <v>1050</v>
      </c>
      <c r="H325" s="276" t="s">
        <v>265</v>
      </c>
      <c r="I325" s="276" t="s">
        <v>1093</v>
      </c>
      <c r="J325" s="276" t="s">
        <v>593</v>
      </c>
      <c r="K325" s="125"/>
      <c r="L325" s="125"/>
      <c r="M325" s="83"/>
      <c r="N325" s="82"/>
      <c r="O325" s="82"/>
      <c r="P325" s="82"/>
      <c r="Q325" s="82"/>
      <c r="R325" s="82"/>
      <c r="S325" s="82"/>
    </row>
    <row r="326" spans="1:19" ht="150" x14ac:dyDescent="0.25">
      <c r="A326" s="156" t="s">
        <v>924</v>
      </c>
      <c r="B326" s="95">
        <v>44985</v>
      </c>
      <c r="C326" s="95">
        <v>44985</v>
      </c>
      <c r="D326" s="276" t="s">
        <v>171</v>
      </c>
      <c r="E326" s="276" t="s">
        <v>910</v>
      </c>
      <c r="F326" s="276" t="s">
        <v>531</v>
      </c>
      <c r="G326" s="276" t="s">
        <v>358</v>
      </c>
      <c r="H326" s="276" t="s">
        <v>265</v>
      </c>
      <c r="I326" s="276" t="s">
        <v>940</v>
      </c>
      <c r="J326" s="276" t="s">
        <v>593</v>
      </c>
      <c r="K326" s="125"/>
      <c r="L326" s="125"/>
      <c r="M326" s="83"/>
      <c r="N326" s="82"/>
      <c r="O326" s="82"/>
      <c r="P326" s="82"/>
      <c r="Q326" s="82"/>
      <c r="R326" s="82"/>
      <c r="S326" s="82"/>
    </row>
    <row r="327" spans="1:19" ht="75" x14ac:dyDescent="0.25">
      <c r="A327" s="156" t="s">
        <v>925</v>
      </c>
      <c r="B327" s="95">
        <v>44986</v>
      </c>
      <c r="C327" s="95">
        <v>44993</v>
      </c>
      <c r="D327" s="276" t="s">
        <v>913</v>
      </c>
      <c r="E327" s="276" t="s">
        <v>914</v>
      </c>
      <c r="F327" s="276" t="s">
        <v>192</v>
      </c>
      <c r="G327" s="276" t="s">
        <v>976</v>
      </c>
      <c r="H327" s="276" t="s">
        <v>265</v>
      </c>
      <c r="I327" s="276" t="s">
        <v>1094</v>
      </c>
      <c r="J327" s="276" t="s">
        <v>593</v>
      </c>
      <c r="K327" s="125"/>
      <c r="L327" s="125"/>
      <c r="M327" s="83"/>
      <c r="N327" s="82"/>
      <c r="O327" s="82"/>
      <c r="P327" s="82"/>
      <c r="Q327" s="82"/>
      <c r="R327" s="82"/>
      <c r="S327" s="82"/>
    </row>
    <row r="328" spans="1:19" ht="60" x14ac:dyDescent="0.25">
      <c r="A328" s="156" t="s">
        <v>926</v>
      </c>
      <c r="B328" s="95">
        <v>44994</v>
      </c>
      <c r="C328" s="95">
        <v>44994</v>
      </c>
      <c r="D328" s="276" t="s">
        <v>808</v>
      </c>
      <c r="E328" s="276" t="s">
        <v>967</v>
      </c>
      <c r="F328" s="276" t="s">
        <v>456</v>
      </c>
      <c r="G328" s="276" t="s">
        <v>481</v>
      </c>
      <c r="H328" s="276" t="s">
        <v>265</v>
      </c>
      <c r="I328" s="276" t="s">
        <v>941</v>
      </c>
      <c r="J328" s="276" t="s">
        <v>593</v>
      </c>
      <c r="K328" s="125"/>
      <c r="L328" s="125"/>
      <c r="M328" s="83"/>
      <c r="N328" s="82"/>
      <c r="O328" s="82"/>
      <c r="P328" s="82"/>
      <c r="Q328" s="82"/>
      <c r="R328" s="82"/>
      <c r="S328" s="82"/>
    </row>
    <row r="329" spans="1:19" ht="60" x14ac:dyDescent="0.25">
      <c r="A329" s="156" t="s">
        <v>927</v>
      </c>
      <c r="B329" s="95">
        <v>44995</v>
      </c>
      <c r="C329" s="95">
        <v>44995</v>
      </c>
      <c r="D329" s="276" t="s">
        <v>516</v>
      </c>
      <c r="E329" s="276" t="s">
        <v>917</v>
      </c>
      <c r="F329" s="276" t="s">
        <v>595</v>
      </c>
      <c r="G329" s="276" t="s">
        <v>195</v>
      </c>
      <c r="H329" s="276" t="s">
        <v>265</v>
      </c>
      <c r="I329" s="276" t="s">
        <v>942</v>
      </c>
      <c r="J329" s="276" t="s">
        <v>593</v>
      </c>
      <c r="K329" s="125"/>
      <c r="L329" s="125"/>
      <c r="M329" s="83"/>
      <c r="N329" s="82"/>
      <c r="O329" s="82"/>
      <c r="P329" s="82"/>
      <c r="Q329" s="82"/>
      <c r="R329" s="82"/>
      <c r="S329" s="82"/>
    </row>
    <row r="330" spans="1:19" ht="60" x14ac:dyDescent="0.25">
      <c r="A330" s="156" t="s">
        <v>928</v>
      </c>
      <c r="B330" s="95">
        <v>44995</v>
      </c>
      <c r="C330" s="95">
        <v>44995</v>
      </c>
      <c r="D330" s="276" t="s">
        <v>831</v>
      </c>
      <c r="E330" s="276" t="s">
        <v>920</v>
      </c>
      <c r="F330" s="276" t="s">
        <v>195</v>
      </c>
      <c r="G330" s="207" t="s">
        <v>833</v>
      </c>
      <c r="H330" s="276" t="s">
        <v>265</v>
      </c>
      <c r="I330" s="276" t="s">
        <v>959</v>
      </c>
      <c r="J330" s="276" t="s">
        <v>593</v>
      </c>
      <c r="K330" s="139"/>
      <c r="L330" s="125"/>
      <c r="M330" s="83"/>
      <c r="N330" s="82"/>
      <c r="O330" s="82"/>
      <c r="P330" s="82"/>
      <c r="Q330" s="82"/>
      <c r="R330" s="82"/>
      <c r="S330" s="82"/>
    </row>
    <row r="331" spans="1:19" ht="45" customHeight="1" x14ac:dyDescent="0.25">
      <c r="A331" s="425" t="s">
        <v>931</v>
      </c>
      <c r="B331" s="426"/>
      <c r="C331" s="426"/>
      <c r="D331" s="426"/>
      <c r="E331" s="426"/>
      <c r="F331" s="426"/>
      <c r="G331" s="426"/>
      <c r="H331" s="426"/>
      <c r="I331" s="426"/>
      <c r="J331" s="426"/>
      <c r="K331" s="427"/>
      <c r="L331" s="84"/>
      <c r="M331" s="145"/>
      <c r="N331" s="84"/>
      <c r="O331" s="84"/>
      <c r="P331" s="84"/>
      <c r="Q331" s="84"/>
      <c r="R331" s="84"/>
      <c r="S331" s="84"/>
    </row>
    <row r="332" spans="1:19" ht="90" x14ac:dyDescent="0.25">
      <c r="A332" s="156" t="s">
        <v>932</v>
      </c>
      <c r="B332" s="95">
        <v>45035</v>
      </c>
      <c r="C332" s="95">
        <v>45035</v>
      </c>
      <c r="D332" s="276" t="s">
        <v>789</v>
      </c>
      <c r="E332" s="276" t="s">
        <v>905</v>
      </c>
      <c r="F332" s="276" t="s">
        <v>156</v>
      </c>
      <c r="G332" s="276" t="s">
        <v>195</v>
      </c>
      <c r="H332" s="276" t="s">
        <v>265</v>
      </c>
      <c r="I332" s="276" t="s">
        <v>1055</v>
      </c>
      <c r="J332" s="276" t="s">
        <v>593</v>
      </c>
      <c r="K332" s="135"/>
      <c r="L332" s="84"/>
      <c r="M332" s="145"/>
      <c r="N332" s="84"/>
      <c r="O332" s="84"/>
      <c r="P332" s="84"/>
      <c r="Q332" s="84"/>
      <c r="R332" s="84"/>
      <c r="S332" s="84"/>
    </row>
    <row r="333" spans="1:19" ht="75" x14ac:dyDescent="0.25">
      <c r="A333" s="156" t="s">
        <v>933</v>
      </c>
      <c r="B333" s="95">
        <v>45035</v>
      </c>
      <c r="C333" s="95">
        <v>45035</v>
      </c>
      <c r="D333" s="276" t="s">
        <v>172</v>
      </c>
      <c r="E333" s="276" t="s">
        <v>909</v>
      </c>
      <c r="F333" s="276" t="s">
        <v>173</v>
      </c>
      <c r="G333" s="276" t="s">
        <v>222</v>
      </c>
      <c r="H333" s="276" t="s">
        <v>265</v>
      </c>
      <c r="I333" s="276" t="s">
        <v>1056</v>
      </c>
      <c r="J333" s="276" t="s">
        <v>593</v>
      </c>
      <c r="K333" s="125"/>
      <c r="L333" s="84"/>
      <c r="M333" s="145"/>
      <c r="N333" s="84"/>
      <c r="O333" s="84"/>
      <c r="P333" s="84"/>
      <c r="Q333" s="84"/>
      <c r="R333" s="84"/>
      <c r="S333" s="84"/>
    </row>
    <row r="334" spans="1:19" ht="75" x14ac:dyDescent="0.25">
      <c r="A334" s="156" t="s">
        <v>934</v>
      </c>
      <c r="B334" s="95">
        <v>45035</v>
      </c>
      <c r="C334" s="95">
        <v>45042</v>
      </c>
      <c r="D334" s="276" t="s">
        <v>170</v>
      </c>
      <c r="E334" s="276" t="s">
        <v>1059</v>
      </c>
      <c r="F334" s="276" t="s">
        <v>171</v>
      </c>
      <c r="G334" s="192" t="s">
        <v>132</v>
      </c>
      <c r="H334" s="276" t="s">
        <v>265</v>
      </c>
      <c r="I334" s="276" t="s">
        <v>1095</v>
      </c>
      <c r="J334" s="276" t="s">
        <v>593</v>
      </c>
      <c r="K334" s="125"/>
      <c r="L334" s="84"/>
      <c r="M334" s="145"/>
      <c r="N334" s="84"/>
      <c r="O334" s="84"/>
      <c r="P334" s="84"/>
      <c r="Q334" s="84"/>
      <c r="R334" s="84"/>
      <c r="S334" s="84"/>
    </row>
    <row r="335" spans="1:19" ht="150" x14ac:dyDescent="0.25">
      <c r="A335" s="156" t="s">
        <v>935</v>
      </c>
      <c r="B335" s="95">
        <v>45042</v>
      </c>
      <c r="C335" s="95">
        <v>45042</v>
      </c>
      <c r="D335" s="276" t="s">
        <v>171</v>
      </c>
      <c r="E335" s="276" t="s">
        <v>910</v>
      </c>
      <c r="F335" s="276" t="s">
        <v>531</v>
      </c>
      <c r="G335" s="276" t="s">
        <v>358</v>
      </c>
      <c r="H335" s="276" t="s">
        <v>265</v>
      </c>
      <c r="I335" s="276" t="s">
        <v>943</v>
      </c>
      <c r="J335" s="276" t="s">
        <v>593</v>
      </c>
      <c r="K335" s="125"/>
      <c r="L335" s="84"/>
      <c r="M335" s="145"/>
      <c r="N335" s="84"/>
      <c r="O335" s="84"/>
      <c r="P335" s="84"/>
      <c r="Q335" s="84"/>
      <c r="R335" s="84"/>
      <c r="S335" s="84"/>
    </row>
    <row r="336" spans="1:19" ht="75" x14ac:dyDescent="0.25">
      <c r="A336" s="156" t="s">
        <v>936</v>
      </c>
      <c r="B336" s="95">
        <v>45043</v>
      </c>
      <c r="C336" s="95">
        <v>45050</v>
      </c>
      <c r="D336" s="276" t="s">
        <v>913</v>
      </c>
      <c r="E336" s="276" t="s">
        <v>914</v>
      </c>
      <c r="F336" s="276" t="s">
        <v>192</v>
      </c>
      <c r="G336" s="276" t="s">
        <v>977</v>
      </c>
      <c r="H336" s="276" t="s">
        <v>265</v>
      </c>
      <c r="I336" s="276" t="s">
        <v>1096</v>
      </c>
      <c r="J336" s="276" t="s">
        <v>593</v>
      </c>
      <c r="K336" s="125"/>
      <c r="L336" s="84"/>
      <c r="M336" s="145"/>
      <c r="N336" s="84"/>
      <c r="O336" s="84"/>
      <c r="P336" s="84"/>
      <c r="Q336" s="84"/>
      <c r="R336" s="84"/>
      <c r="S336" s="84"/>
    </row>
    <row r="337" spans="1:19" ht="60" x14ac:dyDescent="0.25">
      <c r="A337" s="156" t="s">
        <v>937</v>
      </c>
      <c r="B337" s="95">
        <v>45055</v>
      </c>
      <c r="C337" s="95">
        <v>45055</v>
      </c>
      <c r="D337" s="276" t="s">
        <v>808</v>
      </c>
      <c r="E337" s="276" t="s">
        <v>967</v>
      </c>
      <c r="F337" s="276" t="s">
        <v>456</v>
      </c>
      <c r="G337" s="276" t="s">
        <v>481</v>
      </c>
      <c r="H337" s="276" t="s">
        <v>265</v>
      </c>
      <c r="I337" s="276" t="s">
        <v>944</v>
      </c>
      <c r="J337" s="276" t="s">
        <v>593</v>
      </c>
      <c r="K337" s="125"/>
      <c r="L337" s="84"/>
      <c r="M337" s="145"/>
      <c r="N337" s="84"/>
      <c r="O337" s="84"/>
      <c r="P337" s="84"/>
      <c r="Q337" s="84"/>
      <c r="R337" s="84"/>
      <c r="S337" s="84"/>
    </row>
    <row r="338" spans="1:19" ht="75" x14ac:dyDescent="0.25">
      <c r="A338" s="156" t="s">
        <v>938</v>
      </c>
      <c r="B338" s="95">
        <v>45056</v>
      </c>
      <c r="C338" s="95">
        <v>45056</v>
      </c>
      <c r="D338" s="276" t="s">
        <v>516</v>
      </c>
      <c r="E338" s="276" t="s">
        <v>917</v>
      </c>
      <c r="F338" s="276" t="s">
        <v>595</v>
      </c>
      <c r="G338" s="276" t="s">
        <v>195</v>
      </c>
      <c r="H338" s="276" t="s">
        <v>265</v>
      </c>
      <c r="I338" s="276" t="s">
        <v>1097</v>
      </c>
      <c r="J338" s="276" t="s">
        <v>593</v>
      </c>
      <c r="K338" s="125"/>
      <c r="L338" s="84"/>
      <c r="M338" s="145"/>
      <c r="N338" s="84"/>
      <c r="O338" s="84"/>
      <c r="P338" s="84"/>
      <c r="Q338" s="84"/>
      <c r="R338" s="84"/>
      <c r="S338" s="84"/>
    </row>
    <row r="339" spans="1:19" ht="70.900000000000006" customHeight="1" x14ac:dyDescent="0.25">
      <c r="A339" s="156" t="s">
        <v>939</v>
      </c>
      <c r="B339" s="95">
        <v>45056</v>
      </c>
      <c r="C339" s="95">
        <v>45056</v>
      </c>
      <c r="D339" s="276" t="s">
        <v>831</v>
      </c>
      <c r="E339" s="276" t="s">
        <v>920</v>
      </c>
      <c r="F339" s="276" t="s">
        <v>195</v>
      </c>
      <c r="G339" s="207" t="s">
        <v>833</v>
      </c>
      <c r="H339" s="276" t="s">
        <v>265</v>
      </c>
      <c r="I339" s="276" t="s">
        <v>958</v>
      </c>
      <c r="J339" s="276" t="s">
        <v>593</v>
      </c>
      <c r="K339" s="139"/>
      <c r="L339" s="84"/>
      <c r="M339" s="145"/>
      <c r="N339" s="84"/>
      <c r="O339" s="84"/>
      <c r="P339" s="84"/>
      <c r="Q339" s="84"/>
      <c r="R339" s="84"/>
      <c r="S339" s="84"/>
    </row>
    <row r="340" spans="1:19" ht="43.9" customHeight="1" x14ac:dyDescent="0.25">
      <c r="A340" s="425" t="s">
        <v>945</v>
      </c>
      <c r="B340" s="426"/>
      <c r="C340" s="426"/>
      <c r="D340" s="426"/>
      <c r="E340" s="426"/>
      <c r="F340" s="426"/>
      <c r="G340" s="426"/>
      <c r="H340" s="426"/>
      <c r="I340" s="426"/>
      <c r="J340" s="426"/>
      <c r="K340" s="427"/>
      <c r="L340" s="84"/>
      <c r="M340" s="145"/>
      <c r="N340" s="84"/>
      <c r="O340" s="84"/>
      <c r="P340" s="84"/>
      <c r="Q340" s="84"/>
      <c r="R340" s="84"/>
      <c r="S340" s="84"/>
    </row>
    <row r="341" spans="1:19" ht="90" x14ac:dyDescent="0.25">
      <c r="A341" s="156" t="s">
        <v>946</v>
      </c>
      <c r="B341" s="95">
        <v>45044</v>
      </c>
      <c r="C341" s="95">
        <v>45044</v>
      </c>
      <c r="D341" s="276" t="s">
        <v>789</v>
      </c>
      <c r="E341" s="276" t="s">
        <v>961</v>
      </c>
      <c r="F341" s="276" t="s">
        <v>156</v>
      </c>
      <c r="G341" s="276" t="s">
        <v>195</v>
      </c>
      <c r="H341" s="276" t="s">
        <v>265</v>
      </c>
      <c r="I341" s="276" t="s">
        <v>1057</v>
      </c>
      <c r="J341" s="276" t="s">
        <v>593</v>
      </c>
      <c r="K341" s="135"/>
      <c r="L341" s="84"/>
      <c r="M341" s="145"/>
      <c r="N341" s="84"/>
      <c r="O341" s="84"/>
      <c r="P341" s="84"/>
      <c r="Q341" s="84"/>
      <c r="R341" s="84"/>
      <c r="S341" s="84"/>
    </row>
    <row r="342" spans="1:19" ht="75" x14ac:dyDescent="0.25">
      <c r="A342" s="156" t="s">
        <v>947</v>
      </c>
      <c r="B342" s="95">
        <v>45044</v>
      </c>
      <c r="C342" s="95">
        <v>45044</v>
      </c>
      <c r="D342" s="276" t="s">
        <v>172</v>
      </c>
      <c r="E342" s="276" t="s">
        <v>965</v>
      </c>
      <c r="F342" s="276" t="s">
        <v>173</v>
      </c>
      <c r="G342" s="276" t="s">
        <v>222</v>
      </c>
      <c r="H342" s="276" t="s">
        <v>265</v>
      </c>
      <c r="I342" s="276" t="s">
        <v>1058</v>
      </c>
      <c r="J342" s="276" t="s">
        <v>593</v>
      </c>
      <c r="K342" s="125"/>
      <c r="L342" s="84"/>
      <c r="M342" s="145"/>
      <c r="N342" s="84"/>
      <c r="O342" s="84"/>
      <c r="P342" s="84"/>
      <c r="Q342" s="84"/>
      <c r="R342" s="84"/>
      <c r="S342" s="84"/>
    </row>
    <row r="343" spans="1:19" ht="60" x14ac:dyDescent="0.25">
      <c r="A343" s="156" t="s">
        <v>948</v>
      </c>
      <c r="B343" s="95">
        <v>45044</v>
      </c>
      <c r="C343" s="95">
        <v>45044</v>
      </c>
      <c r="D343" s="276" t="s">
        <v>170</v>
      </c>
      <c r="E343" s="276" t="s">
        <v>1207</v>
      </c>
      <c r="F343" s="276" t="s">
        <v>171</v>
      </c>
      <c r="G343" s="192" t="s">
        <v>1208</v>
      </c>
      <c r="H343" s="276" t="s">
        <v>265</v>
      </c>
      <c r="I343" s="276" t="s">
        <v>1209</v>
      </c>
      <c r="J343" s="276" t="s">
        <v>593</v>
      </c>
      <c r="K343" s="125"/>
      <c r="L343" s="84"/>
      <c r="M343" s="145"/>
      <c r="N343" s="84"/>
      <c r="O343" s="84"/>
      <c r="P343" s="84"/>
      <c r="Q343" s="84"/>
      <c r="R343" s="84"/>
      <c r="S343" s="84"/>
    </row>
    <row r="344" spans="1:19" ht="150" x14ac:dyDescent="0.25">
      <c r="A344" s="156" t="s">
        <v>949</v>
      </c>
      <c r="B344" s="95">
        <v>45051</v>
      </c>
      <c r="C344" s="95">
        <v>45051</v>
      </c>
      <c r="D344" s="276" t="s">
        <v>171</v>
      </c>
      <c r="E344" s="276" t="s">
        <v>968</v>
      </c>
      <c r="F344" s="276" t="s">
        <v>531</v>
      </c>
      <c r="G344" s="276" t="s">
        <v>358</v>
      </c>
      <c r="H344" s="276" t="s">
        <v>265</v>
      </c>
      <c r="I344" s="276" t="s">
        <v>954</v>
      </c>
      <c r="J344" s="276" t="s">
        <v>593</v>
      </c>
      <c r="K344" s="125"/>
      <c r="L344" s="84"/>
      <c r="M344" s="145"/>
      <c r="N344" s="84"/>
      <c r="O344" s="84"/>
      <c r="P344" s="84"/>
      <c r="Q344" s="84"/>
      <c r="R344" s="84"/>
      <c r="S344" s="84"/>
    </row>
    <row r="345" spans="1:19" ht="75" x14ac:dyDescent="0.25">
      <c r="A345" s="156" t="s">
        <v>950</v>
      </c>
      <c r="B345" s="95">
        <v>45052</v>
      </c>
      <c r="C345" s="95">
        <v>45059</v>
      </c>
      <c r="D345" s="276" t="s">
        <v>913</v>
      </c>
      <c r="E345" s="276" t="s">
        <v>962</v>
      </c>
      <c r="F345" s="276" t="s">
        <v>192</v>
      </c>
      <c r="G345" s="276" t="s">
        <v>978</v>
      </c>
      <c r="H345" s="276" t="s">
        <v>265</v>
      </c>
      <c r="I345" s="276" t="s">
        <v>1029</v>
      </c>
      <c r="J345" s="276" t="s">
        <v>593</v>
      </c>
      <c r="K345" s="125"/>
      <c r="L345" s="84"/>
      <c r="M345" s="145"/>
      <c r="N345" s="84"/>
      <c r="O345" s="84"/>
      <c r="P345" s="84"/>
      <c r="Q345" s="84"/>
      <c r="R345" s="84"/>
      <c r="S345" s="84"/>
    </row>
    <row r="346" spans="1:19" ht="60" x14ac:dyDescent="0.25">
      <c r="A346" s="156" t="s">
        <v>951</v>
      </c>
      <c r="B346" s="95">
        <v>45059</v>
      </c>
      <c r="C346" s="95">
        <v>45059</v>
      </c>
      <c r="D346" s="276" t="s">
        <v>808</v>
      </c>
      <c r="E346" s="276" t="s">
        <v>963</v>
      </c>
      <c r="F346" s="276" t="s">
        <v>456</v>
      </c>
      <c r="G346" s="276" t="s">
        <v>481</v>
      </c>
      <c r="H346" s="276" t="s">
        <v>265</v>
      </c>
      <c r="I346" s="276" t="s">
        <v>955</v>
      </c>
      <c r="J346" s="276" t="s">
        <v>593</v>
      </c>
      <c r="K346" s="125"/>
      <c r="L346" s="84"/>
      <c r="M346" s="145"/>
      <c r="N346" s="84"/>
      <c r="O346" s="84"/>
      <c r="P346" s="84"/>
      <c r="Q346" s="84"/>
      <c r="R346" s="84"/>
      <c r="S346" s="84"/>
    </row>
    <row r="347" spans="1:19" ht="60" x14ac:dyDescent="0.25">
      <c r="A347" s="156" t="s">
        <v>952</v>
      </c>
      <c r="B347" s="95">
        <v>45060</v>
      </c>
      <c r="C347" s="95">
        <v>45060</v>
      </c>
      <c r="D347" s="276" t="s">
        <v>516</v>
      </c>
      <c r="E347" s="276" t="s">
        <v>964</v>
      </c>
      <c r="F347" s="276" t="s">
        <v>595</v>
      </c>
      <c r="G347" s="276" t="s">
        <v>195</v>
      </c>
      <c r="H347" s="276" t="s">
        <v>265</v>
      </c>
      <c r="I347" s="276" t="s">
        <v>956</v>
      </c>
      <c r="J347" s="276" t="s">
        <v>593</v>
      </c>
      <c r="K347" s="125"/>
      <c r="L347" s="84"/>
      <c r="M347" s="145"/>
      <c r="N347" s="84"/>
      <c r="O347" s="84"/>
      <c r="P347" s="84"/>
      <c r="Q347" s="84"/>
      <c r="R347" s="84"/>
      <c r="S347" s="84"/>
    </row>
    <row r="348" spans="1:19" ht="60" x14ac:dyDescent="0.25">
      <c r="A348" s="156" t="s">
        <v>953</v>
      </c>
      <c r="B348" s="95">
        <v>45060</v>
      </c>
      <c r="C348" s="95">
        <v>45060</v>
      </c>
      <c r="D348" s="276" t="s">
        <v>831</v>
      </c>
      <c r="E348" s="276" t="s">
        <v>966</v>
      </c>
      <c r="F348" s="276" t="s">
        <v>195</v>
      </c>
      <c r="G348" s="207" t="s">
        <v>833</v>
      </c>
      <c r="H348" s="276" t="s">
        <v>265</v>
      </c>
      <c r="I348" s="276" t="s">
        <v>957</v>
      </c>
      <c r="J348" s="276" t="s">
        <v>593</v>
      </c>
      <c r="K348" s="139"/>
      <c r="L348" s="84"/>
      <c r="M348" s="145"/>
      <c r="N348" s="84"/>
      <c r="O348" s="84"/>
      <c r="P348" s="84"/>
      <c r="Q348" s="84"/>
      <c r="R348" s="84"/>
      <c r="S348" s="84"/>
    </row>
    <row r="349" spans="1:19" ht="43.9" customHeight="1" x14ac:dyDescent="0.25">
      <c r="A349" s="422" t="s">
        <v>980</v>
      </c>
      <c r="B349" s="423"/>
      <c r="C349" s="423"/>
      <c r="D349" s="423"/>
      <c r="E349" s="423"/>
      <c r="F349" s="423"/>
      <c r="G349" s="423"/>
      <c r="H349" s="423"/>
      <c r="I349" s="423"/>
      <c r="J349" s="423"/>
      <c r="K349" s="424"/>
      <c r="L349" s="84"/>
      <c r="M349" s="145"/>
      <c r="N349" s="84"/>
      <c r="O349" s="84"/>
      <c r="P349" s="84"/>
      <c r="Q349" s="84"/>
      <c r="R349" s="84"/>
      <c r="S349" s="84"/>
    </row>
    <row r="350" spans="1:19" ht="126.6" customHeight="1" x14ac:dyDescent="0.25">
      <c r="A350" s="156" t="s">
        <v>604</v>
      </c>
      <c r="B350" s="95">
        <v>45062</v>
      </c>
      <c r="C350" s="95">
        <v>45062</v>
      </c>
      <c r="D350" s="276" t="s">
        <v>789</v>
      </c>
      <c r="E350" s="276" t="s">
        <v>1032</v>
      </c>
      <c r="F350" s="276" t="s">
        <v>156</v>
      </c>
      <c r="G350" s="276" t="s">
        <v>195</v>
      </c>
      <c r="H350" s="276" t="s">
        <v>981</v>
      </c>
      <c r="I350" s="276" t="s">
        <v>1033</v>
      </c>
      <c r="J350" s="276" t="s">
        <v>593</v>
      </c>
      <c r="K350" s="135"/>
      <c r="L350" s="84"/>
      <c r="M350" s="145"/>
      <c r="N350" s="84"/>
      <c r="O350" s="84"/>
      <c r="P350" s="84"/>
      <c r="Q350" s="84"/>
      <c r="R350" s="84"/>
      <c r="S350" s="84"/>
    </row>
    <row r="351" spans="1:19" ht="75" x14ac:dyDescent="0.25">
      <c r="A351" s="156" t="s">
        <v>982</v>
      </c>
      <c r="B351" s="95">
        <v>45063</v>
      </c>
      <c r="C351" s="95">
        <v>45063</v>
      </c>
      <c r="D351" s="276" t="s">
        <v>172</v>
      </c>
      <c r="E351" s="276" t="s">
        <v>983</v>
      </c>
      <c r="F351" s="276" t="s">
        <v>173</v>
      </c>
      <c r="G351" s="276" t="s">
        <v>222</v>
      </c>
      <c r="H351" s="276" t="s">
        <v>981</v>
      </c>
      <c r="I351" s="276" t="s">
        <v>1024</v>
      </c>
      <c r="J351" s="276" t="s">
        <v>593</v>
      </c>
      <c r="K351" s="125"/>
      <c r="L351" s="84"/>
      <c r="M351" s="145"/>
      <c r="N351" s="84"/>
      <c r="O351" s="84"/>
      <c r="P351" s="84"/>
      <c r="Q351" s="84"/>
      <c r="R351" s="84"/>
      <c r="S351" s="84"/>
    </row>
    <row r="352" spans="1:19" ht="75" x14ac:dyDescent="0.25">
      <c r="A352" s="156" t="s">
        <v>984</v>
      </c>
      <c r="B352" s="95">
        <v>45068</v>
      </c>
      <c r="C352" s="95">
        <v>45075</v>
      </c>
      <c r="D352" s="276" t="s">
        <v>430</v>
      </c>
      <c r="E352" s="276" t="s">
        <v>1030</v>
      </c>
      <c r="F352" s="276" t="s">
        <v>171</v>
      </c>
      <c r="G352" s="276" t="s">
        <v>1049</v>
      </c>
      <c r="H352" s="276" t="s">
        <v>981</v>
      </c>
      <c r="I352" s="276" t="s">
        <v>1025</v>
      </c>
      <c r="J352" s="276" t="s">
        <v>593</v>
      </c>
      <c r="K352" s="125"/>
      <c r="L352" s="84"/>
      <c r="M352" s="145"/>
      <c r="N352" s="84"/>
      <c r="O352" s="84"/>
      <c r="P352" s="84"/>
      <c r="Q352" s="84"/>
      <c r="R352" s="84"/>
      <c r="S352" s="84"/>
    </row>
    <row r="353" spans="1:19" ht="165" x14ac:dyDescent="0.25">
      <c r="A353" s="156" t="s">
        <v>985</v>
      </c>
      <c r="B353" s="95">
        <v>45075</v>
      </c>
      <c r="C353" s="95">
        <v>45075</v>
      </c>
      <c r="D353" s="276" t="s">
        <v>171</v>
      </c>
      <c r="E353" s="276" t="s">
        <v>986</v>
      </c>
      <c r="F353" s="276" t="s">
        <v>531</v>
      </c>
      <c r="G353" s="276" t="s">
        <v>353</v>
      </c>
      <c r="H353" s="276" t="s">
        <v>981</v>
      </c>
      <c r="I353" s="276" t="s">
        <v>999</v>
      </c>
      <c r="J353" s="276" t="s">
        <v>593</v>
      </c>
      <c r="K353" s="125"/>
      <c r="L353" s="84"/>
      <c r="M353" s="145"/>
      <c r="N353" s="84"/>
      <c r="O353" s="84"/>
      <c r="P353" s="84"/>
      <c r="Q353" s="84"/>
      <c r="R353" s="84"/>
      <c r="S353" s="84"/>
    </row>
    <row r="354" spans="1:19" ht="90" x14ac:dyDescent="0.25">
      <c r="A354" s="156" t="s">
        <v>987</v>
      </c>
      <c r="B354" s="95">
        <v>45075</v>
      </c>
      <c r="C354" s="95">
        <v>45082</v>
      </c>
      <c r="D354" s="276" t="s">
        <v>1000</v>
      </c>
      <c r="E354" s="276" t="s">
        <v>1001</v>
      </c>
      <c r="F354" s="276" t="s">
        <v>192</v>
      </c>
      <c r="G354" s="276" t="s">
        <v>1031</v>
      </c>
      <c r="H354" s="276" t="s">
        <v>981</v>
      </c>
      <c r="I354" s="276" t="s">
        <v>1023</v>
      </c>
      <c r="J354" s="276" t="s">
        <v>593</v>
      </c>
      <c r="K354" s="125"/>
      <c r="L354" s="84"/>
      <c r="M354" s="145"/>
      <c r="N354" s="84"/>
      <c r="O354" s="84"/>
      <c r="P354" s="84"/>
      <c r="Q354" s="84"/>
      <c r="R354" s="84"/>
      <c r="S354" s="84"/>
    </row>
    <row r="355" spans="1:19" ht="60" x14ac:dyDescent="0.25">
      <c r="A355" s="156" t="s">
        <v>988</v>
      </c>
      <c r="B355" s="95">
        <v>45083</v>
      </c>
      <c r="C355" s="95">
        <v>45084</v>
      </c>
      <c r="D355" s="276" t="s">
        <v>808</v>
      </c>
      <c r="E355" s="276" t="s">
        <v>990</v>
      </c>
      <c r="F355" s="276" t="s">
        <v>456</v>
      </c>
      <c r="G355" s="276" t="s">
        <v>481</v>
      </c>
      <c r="H355" s="276" t="s">
        <v>981</v>
      </c>
      <c r="I355" s="276" t="s">
        <v>1003</v>
      </c>
      <c r="J355" s="276" t="s">
        <v>593</v>
      </c>
      <c r="K355" s="125"/>
      <c r="L355" s="84"/>
      <c r="M355" s="145"/>
      <c r="N355" s="84"/>
      <c r="O355" s="84"/>
      <c r="P355" s="84"/>
      <c r="Q355" s="84"/>
      <c r="R355" s="84"/>
      <c r="S355" s="84"/>
    </row>
    <row r="356" spans="1:19" ht="60" x14ac:dyDescent="0.25">
      <c r="A356" s="276" t="s">
        <v>989</v>
      </c>
      <c r="B356" s="95">
        <v>45085</v>
      </c>
      <c r="C356" s="95">
        <v>45085</v>
      </c>
      <c r="D356" s="276" t="s">
        <v>155</v>
      </c>
      <c r="E356" s="276" t="s">
        <v>997</v>
      </c>
      <c r="F356" s="276" t="s">
        <v>516</v>
      </c>
      <c r="G356" s="192" t="s">
        <v>998</v>
      </c>
      <c r="H356" s="276" t="s">
        <v>981</v>
      </c>
      <c r="I356" s="276" t="s">
        <v>1002</v>
      </c>
      <c r="J356" s="276" t="s">
        <v>593</v>
      </c>
      <c r="K356" s="125"/>
      <c r="L356" s="84"/>
      <c r="M356" s="145"/>
      <c r="N356" s="84"/>
      <c r="O356" s="84"/>
      <c r="P356" s="84"/>
      <c r="Q356" s="84"/>
      <c r="R356" s="84"/>
      <c r="S356" s="84"/>
    </row>
    <row r="357" spans="1:19" ht="84" customHeight="1" x14ac:dyDescent="0.25">
      <c r="A357" s="276" t="s">
        <v>991</v>
      </c>
      <c r="B357" s="95">
        <v>45089</v>
      </c>
      <c r="C357" s="95">
        <v>45089</v>
      </c>
      <c r="D357" s="276" t="s">
        <v>516</v>
      </c>
      <c r="E357" s="276" t="s">
        <v>996</v>
      </c>
      <c r="F357" s="276" t="s">
        <v>993</v>
      </c>
      <c r="G357" s="276" t="s">
        <v>195</v>
      </c>
      <c r="H357" s="276" t="s">
        <v>981</v>
      </c>
      <c r="I357" s="276" t="s">
        <v>1247</v>
      </c>
      <c r="J357" s="276" t="s">
        <v>593</v>
      </c>
      <c r="K357" s="125"/>
      <c r="L357" s="84"/>
      <c r="M357" s="145"/>
      <c r="N357" s="84"/>
      <c r="O357" s="84"/>
      <c r="P357" s="84"/>
      <c r="Q357" s="84"/>
      <c r="R357" s="84"/>
      <c r="S357" s="84"/>
    </row>
    <row r="358" spans="1:19" ht="45" x14ac:dyDescent="0.25">
      <c r="A358" s="276" t="s">
        <v>992</v>
      </c>
      <c r="B358" s="243">
        <v>45090</v>
      </c>
      <c r="C358" s="243">
        <v>45090</v>
      </c>
      <c r="D358" s="276" t="s">
        <v>994</v>
      </c>
      <c r="E358" s="276" t="s">
        <v>995</v>
      </c>
      <c r="F358" s="276" t="s">
        <v>195</v>
      </c>
      <c r="G358" s="276" t="s">
        <v>195</v>
      </c>
      <c r="H358" s="276" t="s">
        <v>981</v>
      </c>
      <c r="I358" s="192" t="s">
        <v>1245</v>
      </c>
      <c r="J358" s="276" t="s">
        <v>1246</v>
      </c>
      <c r="K358" s="139"/>
      <c r="L358" s="84"/>
      <c r="M358" s="145"/>
      <c r="N358" s="84"/>
      <c r="O358" s="84"/>
      <c r="P358" s="84"/>
      <c r="Q358" s="84"/>
      <c r="R358" s="84"/>
      <c r="S358" s="84"/>
    </row>
    <row r="359" spans="1:19" ht="36" customHeight="1" x14ac:dyDescent="0.25">
      <c r="A359" s="414" t="s">
        <v>1004</v>
      </c>
      <c r="B359" s="415"/>
      <c r="C359" s="415"/>
      <c r="D359" s="415"/>
      <c r="E359" s="415"/>
      <c r="F359" s="415"/>
      <c r="G359" s="415"/>
      <c r="H359" s="415"/>
      <c r="I359" s="415"/>
      <c r="J359" s="415"/>
      <c r="K359" s="416"/>
      <c r="L359" s="84"/>
      <c r="M359" s="145"/>
      <c r="N359" s="84"/>
      <c r="O359" s="84"/>
      <c r="P359" s="84"/>
      <c r="Q359" s="84"/>
      <c r="R359" s="84"/>
      <c r="S359" s="84"/>
    </row>
    <row r="360" spans="1:19" ht="68.45" customHeight="1" x14ac:dyDescent="0.25">
      <c r="A360" s="156" t="s">
        <v>1005</v>
      </c>
      <c r="B360" s="95">
        <v>45066</v>
      </c>
      <c r="C360" s="95">
        <v>45066</v>
      </c>
      <c r="D360" s="276" t="s">
        <v>789</v>
      </c>
      <c r="E360" s="276" t="s">
        <v>1034</v>
      </c>
      <c r="F360" s="276" t="s">
        <v>156</v>
      </c>
      <c r="G360" s="276" t="s">
        <v>195</v>
      </c>
      <c r="H360" s="276" t="s">
        <v>164</v>
      </c>
      <c r="I360" s="276" t="s">
        <v>1014</v>
      </c>
      <c r="J360" s="276" t="s">
        <v>593</v>
      </c>
      <c r="K360" s="135"/>
      <c r="L360" s="84"/>
      <c r="M360" s="145"/>
      <c r="N360" s="84"/>
      <c r="O360" s="84"/>
      <c r="P360" s="84"/>
      <c r="Q360" s="84"/>
      <c r="R360" s="84"/>
      <c r="S360" s="84"/>
    </row>
    <row r="361" spans="1:19" ht="72.599999999999994" customHeight="1" x14ac:dyDescent="0.25">
      <c r="A361" s="156" t="s">
        <v>1006</v>
      </c>
      <c r="B361" s="95">
        <v>45066</v>
      </c>
      <c r="C361" s="95">
        <v>45066</v>
      </c>
      <c r="D361" s="276" t="s">
        <v>654</v>
      </c>
      <c r="E361" s="276" t="s">
        <v>1041</v>
      </c>
      <c r="F361" s="276" t="s">
        <v>377</v>
      </c>
      <c r="G361" s="276" t="s">
        <v>195</v>
      </c>
      <c r="H361" s="276" t="s">
        <v>164</v>
      </c>
      <c r="I361" s="276" t="s">
        <v>1015</v>
      </c>
      <c r="J361" s="276" t="s">
        <v>593</v>
      </c>
      <c r="K361" s="125"/>
      <c r="L361" s="84"/>
      <c r="M361" s="145"/>
      <c r="N361" s="84"/>
      <c r="O361" s="84"/>
      <c r="P361" s="84"/>
      <c r="Q361" s="84"/>
      <c r="R361" s="84"/>
      <c r="S361" s="84"/>
    </row>
    <row r="362" spans="1:19" ht="125.45" customHeight="1" x14ac:dyDescent="0.25">
      <c r="A362" s="156" t="s">
        <v>1007</v>
      </c>
      <c r="B362" s="95">
        <v>45067</v>
      </c>
      <c r="C362" s="95">
        <v>45067</v>
      </c>
      <c r="D362" s="276" t="s">
        <v>430</v>
      </c>
      <c r="E362" s="276" t="s">
        <v>1035</v>
      </c>
      <c r="F362" s="276" t="s">
        <v>171</v>
      </c>
      <c r="G362" s="276" t="s">
        <v>400</v>
      </c>
      <c r="H362" s="276" t="s">
        <v>164</v>
      </c>
      <c r="I362" s="276" t="s">
        <v>1048</v>
      </c>
      <c r="J362" s="276" t="s">
        <v>593</v>
      </c>
      <c r="K362" s="125"/>
      <c r="L362" s="84"/>
      <c r="M362" s="145"/>
      <c r="N362" s="84"/>
      <c r="O362" s="84"/>
      <c r="P362" s="84"/>
      <c r="Q362" s="84"/>
      <c r="R362" s="84"/>
      <c r="S362" s="84"/>
    </row>
    <row r="363" spans="1:19" ht="70.900000000000006" customHeight="1" x14ac:dyDescent="0.25">
      <c r="A363" s="146" t="s">
        <v>1008</v>
      </c>
      <c r="B363" s="83">
        <v>45067</v>
      </c>
      <c r="C363" s="83">
        <v>45067</v>
      </c>
      <c r="D363" s="82" t="s">
        <v>172</v>
      </c>
      <c r="E363" s="82" t="s">
        <v>1017</v>
      </c>
      <c r="F363" s="82" t="s">
        <v>173</v>
      </c>
      <c r="G363" s="82" t="s">
        <v>222</v>
      </c>
      <c r="H363" s="82" t="s">
        <v>164</v>
      </c>
      <c r="I363" s="82" t="s">
        <v>1016</v>
      </c>
      <c r="J363" s="82" t="s">
        <v>593</v>
      </c>
      <c r="K363" s="125"/>
      <c r="L363" s="84"/>
      <c r="M363" s="145"/>
      <c r="N363" s="84"/>
      <c r="O363" s="84"/>
      <c r="P363" s="84"/>
      <c r="Q363" s="84"/>
      <c r="R363" s="84"/>
      <c r="S363" s="84"/>
    </row>
    <row r="364" spans="1:19" ht="75" x14ac:dyDescent="0.25">
      <c r="A364" s="156" t="s">
        <v>1009</v>
      </c>
      <c r="B364" s="95">
        <v>45068</v>
      </c>
      <c r="C364" s="95">
        <v>45075</v>
      </c>
      <c r="D364" s="276" t="s">
        <v>430</v>
      </c>
      <c r="E364" s="276" t="s">
        <v>1042</v>
      </c>
      <c r="F364" s="276" t="s">
        <v>171</v>
      </c>
      <c r="G364" s="192" t="s">
        <v>871</v>
      </c>
      <c r="H364" s="276" t="s">
        <v>164</v>
      </c>
      <c r="I364" s="276" t="s">
        <v>1047</v>
      </c>
      <c r="J364" s="276" t="s">
        <v>593</v>
      </c>
      <c r="K364" s="125"/>
      <c r="L364" s="84"/>
      <c r="M364" s="145"/>
      <c r="N364" s="84"/>
      <c r="O364" s="84"/>
      <c r="P364" s="84"/>
      <c r="Q364" s="84"/>
      <c r="R364" s="84"/>
      <c r="S364" s="84"/>
    </row>
    <row r="365" spans="1:19" ht="150.6" customHeight="1" x14ac:dyDescent="0.25">
      <c r="A365" s="156" t="s">
        <v>1010</v>
      </c>
      <c r="B365" s="95">
        <v>45068</v>
      </c>
      <c r="C365" s="95">
        <v>45075</v>
      </c>
      <c r="D365" s="276" t="s">
        <v>171</v>
      </c>
      <c r="E365" s="276" t="s">
        <v>1036</v>
      </c>
      <c r="F365" s="276" t="s">
        <v>531</v>
      </c>
      <c r="G365" s="276" t="s">
        <v>353</v>
      </c>
      <c r="H365" s="276" t="s">
        <v>164</v>
      </c>
      <c r="I365" s="276" t="s">
        <v>1046</v>
      </c>
      <c r="J365" s="276" t="s">
        <v>593</v>
      </c>
      <c r="K365" s="125"/>
      <c r="L365" s="84"/>
      <c r="M365" s="145"/>
      <c r="N365" s="84"/>
      <c r="O365" s="84"/>
      <c r="P365" s="84"/>
      <c r="Q365" s="84"/>
      <c r="R365" s="84"/>
      <c r="S365" s="84"/>
    </row>
    <row r="366" spans="1:19" ht="91.9" customHeight="1" x14ac:dyDescent="0.25">
      <c r="A366" s="156" t="s">
        <v>1011</v>
      </c>
      <c r="B366" s="95">
        <v>45075</v>
      </c>
      <c r="C366" s="95">
        <v>45082</v>
      </c>
      <c r="D366" s="276" t="s">
        <v>531</v>
      </c>
      <c r="E366" s="276" t="s">
        <v>1037</v>
      </c>
      <c r="F366" s="276" t="s">
        <v>192</v>
      </c>
      <c r="G366" s="192" t="s">
        <v>1043</v>
      </c>
      <c r="H366" s="276" t="s">
        <v>164</v>
      </c>
      <c r="I366" s="276" t="s">
        <v>1045</v>
      </c>
      <c r="J366" s="276" t="s">
        <v>593</v>
      </c>
      <c r="K366" s="125"/>
      <c r="L366" s="84"/>
      <c r="M366" s="145"/>
      <c r="N366" s="84"/>
      <c r="O366" s="84"/>
      <c r="P366" s="84"/>
      <c r="Q366" s="84"/>
      <c r="R366" s="84"/>
      <c r="S366" s="84"/>
    </row>
    <row r="367" spans="1:19" ht="60" x14ac:dyDescent="0.25">
      <c r="A367" s="156" t="s">
        <v>1012</v>
      </c>
      <c r="B367" s="95">
        <v>45082</v>
      </c>
      <c r="C367" s="95">
        <v>45082</v>
      </c>
      <c r="D367" s="276" t="s">
        <v>808</v>
      </c>
      <c r="E367" s="276" t="s">
        <v>1038</v>
      </c>
      <c r="F367" s="276" t="s">
        <v>456</v>
      </c>
      <c r="G367" s="276" t="s">
        <v>481</v>
      </c>
      <c r="H367" s="276" t="s">
        <v>1028</v>
      </c>
      <c r="I367" s="192" t="s">
        <v>1044</v>
      </c>
      <c r="J367" s="276" t="s">
        <v>593</v>
      </c>
      <c r="K367" s="125"/>
      <c r="L367" s="84"/>
      <c r="M367" s="145"/>
      <c r="N367" s="84"/>
      <c r="O367" s="84"/>
      <c r="P367" s="84"/>
      <c r="Q367" s="84"/>
      <c r="R367" s="84"/>
      <c r="S367" s="84"/>
    </row>
    <row r="368" spans="1:19" ht="75" x14ac:dyDescent="0.25">
      <c r="A368" s="156" t="s">
        <v>1013</v>
      </c>
      <c r="B368" s="95">
        <v>45083</v>
      </c>
      <c r="C368" s="95">
        <v>45083</v>
      </c>
      <c r="D368" s="276" t="s">
        <v>516</v>
      </c>
      <c r="E368" s="276" t="s">
        <v>1039</v>
      </c>
      <c r="F368" s="276" t="s">
        <v>595</v>
      </c>
      <c r="G368" s="276" t="s">
        <v>195</v>
      </c>
      <c r="H368" s="276" t="s">
        <v>164</v>
      </c>
      <c r="I368" s="276" t="s">
        <v>1201</v>
      </c>
      <c r="J368" s="276" t="s">
        <v>593</v>
      </c>
      <c r="K368" s="125"/>
      <c r="L368" s="84"/>
      <c r="M368" s="145"/>
      <c r="N368" s="84"/>
      <c r="O368" s="84"/>
      <c r="P368" s="84"/>
      <c r="Q368" s="84"/>
      <c r="R368" s="84"/>
      <c r="S368" s="84"/>
    </row>
    <row r="369" spans="1:19" ht="64.900000000000006" customHeight="1" x14ac:dyDescent="0.25">
      <c r="A369" s="156" t="s">
        <v>1026</v>
      </c>
      <c r="B369" s="95">
        <v>45083</v>
      </c>
      <c r="C369" s="95">
        <v>45083</v>
      </c>
      <c r="D369" s="276" t="s">
        <v>831</v>
      </c>
      <c r="E369" s="276" t="s">
        <v>1040</v>
      </c>
      <c r="F369" s="276" t="s">
        <v>195</v>
      </c>
      <c r="G369" s="207" t="s">
        <v>833</v>
      </c>
      <c r="H369" s="276" t="s">
        <v>164</v>
      </c>
      <c r="I369" s="276" t="s">
        <v>1027</v>
      </c>
      <c r="J369" s="276" t="s">
        <v>593</v>
      </c>
      <c r="K369" s="139"/>
      <c r="L369" s="84"/>
      <c r="M369" s="145"/>
      <c r="N369" s="84"/>
      <c r="O369" s="84"/>
      <c r="P369" s="84"/>
      <c r="Q369" s="84"/>
      <c r="R369" s="84"/>
      <c r="S369" s="84"/>
    </row>
    <row r="370" spans="1:19" ht="43.9" customHeight="1" x14ac:dyDescent="0.25">
      <c r="A370" s="425" t="s">
        <v>1060</v>
      </c>
      <c r="B370" s="426"/>
      <c r="C370" s="426"/>
      <c r="D370" s="426"/>
      <c r="E370" s="426"/>
      <c r="F370" s="426"/>
      <c r="G370" s="426"/>
      <c r="H370" s="426"/>
      <c r="I370" s="426"/>
      <c r="J370" s="426"/>
      <c r="K370" s="427"/>
      <c r="L370" s="84"/>
      <c r="M370" s="145"/>
      <c r="N370" s="84"/>
      <c r="O370" s="84"/>
      <c r="P370" s="84"/>
      <c r="Q370" s="84"/>
      <c r="R370" s="84"/>
      <c r="S370" s="84"/>
    </row>
    <row r="371" spans="1:19" ht="116.45" customHeight="1" x14ac:dyDescent="0.25">
      <c r="A371" s="156" t="s">
        <v>1082</v>
      </c>
      <c r="B371" s="95">
        <v>45079</v>
      </c>
      <c r="C371" s="95">
        <v>45079</v>
      </c>
      <c r="D371" s="276" t="s">
        <v>789</v>
      </c>
      <c r="E371" s="276" t="s">
        <v>1225</v>
      </c>
      <c r="F371" s="276" t="s">
        <v>156</v>
      </c>
      <c r="G371" s="276" t="s">
        <v>195</v>
      </c>
      <c r="H371" s="276" t="s">
        <v>1061</v>
      </c>
      <c r="I371" s="276" t="s">
        <v>1224</v>
      </c>
      <c r="J371" s="276" t="s">
        <v>593</v>
      </c>
      <c r="K371" s="135"/>
      <c r="L371" s="84"/>
      <c r="M371" s="145"/>
      <c r="N371" s="84"/>
      <c r="O371" s="84"/>
      <c r="P371" s="84"/>
      <c r="Q371" s="84"/>
      <c r="R371" s="84"/>
      <c r="S371" s="84"/>
    </row>
    <row r="372" spans="1:19" ht="125.45" customHeight="1" x14ac:dyDescent="0.25">
      <c r="A372" s="156" t="s">
        <v>1083</v>
      </c>
      <c r="B372" s="95">
        <v>45080</v>
      </c>
      <c r="C372" s="95">
        <v>45080</v>
      </c>
      <c r="D372" s="276" t="s">
        <v>430</v>
      </c>
      <c r="E372" s="276" t="s">
        <v>1062</v>
      </c>
      <c r="F372" s="276" t="s">
        <v>171</v>
      </c>
      <c r="G372" s="276" t="s">
        <v>1223</v>
      </c>
      <c r="H372" s="276" t="s">
        <v>1061</v>
      </c>
      <c r="I372" s="192" t="s">
        <v>1088</v>
      </c>
      <c r="J372" s="276" t="s">
        <v>593</v>
      </c>
      <c r="K372" s="125"/>
      <c r="L372" s="84"/>
      <c r="M372" s="145"/>
      <c r="N372" s="84"/>
      <c r="O372" s="84"/>
      <c r="P372" s="84"/>
      <c r="Q372" s="84"/>
      <c r="R372" s="84"/>
      <c r="S372" s="84"/>
    </row>
    <row r="373" spans="1:19" ht="60" x14ac:dyDescent="0.25">
      <c r="A373" s="156" t="s">
        <v>1084</v>
      </c>
      <c r="B373" s="95">
        <v>45081</v>
      </c>
      <c r="C373" s="95">
        <v>45081</v>
      </c>
      <c r="D373" s="276" t="s">
        <v>430</v>
      </c>
      <c r="E373" s="276" t="s">
        <v>1063</v>
      </c>
      <c r="F373" s="276" t="s">
        <v>171</v>
      </c>
      <c r="G373" s="192" t="s">
        <v>1226</v>
      </c>
      <c r="H373" s="276" t="s">
        <v>1061</v>
      </c>
      <c r="I373" s="192" t="s">
        <v>1227</v>
      </c>
      <c r="J373" s="276" t="s">
        <v>593</v>
      </c>
      <c r="K373" s="125"/>
      <c r="L373" s="84"/>
      <c r="M373" s="145"/>
      <c r="N373" s="84"/>
      <c r="O373" s="84"/>
      <c r="P373" s="84"/>
      <c r="Q373" s="84"/>
      <c r="R373" s="84"/>
      <c r="S373" s="84"/>
    </row>
    <row r="374" spans="1:19" ht="144" customHeight="1" x14ac:dyDescent="0.25">
      <c r="A374" s="156" t="s">
        <v>1085</v>
      </c>
      <c r="B374" s="95">
        <v>45082</v>
      </c>
      <c r="C374" s="95">
        <v>45082</v>
      </c>
      <c r="D374" s="276" t="s">
        <v>171</v>
      </c>
      <c r="E374" s="276" t="s">
        <v>1064</v>
      </c>
      <c r="F374" s="276" t="s">
        <v>531</v>
      </c>
      <c r="G374" s="276" t="s">
        <v>1069</v>
      </c>
      <c r="H374" s="276" t="s">
        <v>1068</v>
      </c>
      <c r="I374" s="192" t="s">
        <v>1228</v>
      </c>
      <c r="J374" s="276" t="s">
        <v>593</v>
      </c>
      <c r="K374" s="125"/>
      <c r="L374" s="84"/>
      <c r="M374" s="145"/>
      <c r="N374" s="84"/>
      <c r="O374" s="84"/>
      <c r="P374" s="84"/>
      <c r="Q374" s="84"/>
      <c r="R374" s="84"/>
      <c r="S374" s="84"/>
    </row>
    <row r="375" spans="1:19" ht="91.9" customHeight="1" x14ac:dyDescent="0.25">
      <c r="A375" s="156" t="s">
        <v>1086</v>
      </c>
      <c r="B375" s="95">
        <v>45083</v>
      </c>
      <c r="C375" s="240">
        <v>45090</v>
      </c>
      <c r="D375" s="276" t="s">
        <v>531</v>
      </c>
      <c r="E375" s="276" t="s">
        <v>1241</v>
      </c>
      <c r="F375" s="276" t="s">
        <v>192</v>
      </c>
      <c r="G375" s="192" t="s">
        <v>1229</v>
      </c>
      <c r="H375" s="276" t="s">
        <v>1061</v>
      </c>
      <c r="I375" s="192" t="s">
        <v>1230</v>
      </c>
      <c r="J375" s="276" t="s">
        <v>593</v>
      </c>
      <c r="K375" s="125"/>
      <c r="L375" s="84"/>
      <c r="M375" s="145"/>
      <c r="N375" s="84"/>
      <c r="O375" s="84"/>
      <c r="P375" s="84"/>
      <c r="Q375" s="84"/>
      <c r="R375" s="84"/>
      <c r="S375" s="84"/>
    </row>
    <row r="376" spans="1:19" ht="99.6" customHeight="1" x14ac:dyDescent="0.25">
      <c r="A376" s="146" t="s">
        <v>1087</v>
      </c>
      <c r="B376" s="83">
        <v>45091</v>
      </c>
      <c r="C376" s="83">
        <v>45091</v>
      </c>
      <c r="D376" s="82" t="s">
        <v>1100</v>
      </c>
      <c r="E376" s="82" t="s">
        <v>1099</v>
      </c>
      <c r="F376" s="82" t="s">
        <v>192</v>
      </c>
      <c r="G376" s="110" t="s">
        <v>1101</v>
      </c>
      <c r="H376" s="82" t="s">
        <v>1061</v>
      </c>
      <c r="I376" s="110" t="s">
        <v>1235</v>
      </c>
      <c r="J376" s="82" t="s">
        <v>593</v>
      </c>
      <c r="K376" s="125"/>
      <c r="L376" s="84"/>
      <c r="M376" s="145"/>
      <c r="N376" s="84"/>
      <c r="O376" s="84"/>
      <c r="P376" s="84"/>
      <c r="Q376" s="84"/>
      <c r="R376" s="84"/>
      <c r="S376" s="84"/>
    </row>
    <row r="377" spans="1:19" ht="60" x14ac:dyDescent="0.25">
      <c r="A377" s="189" t="s">
        <v>1089</v>
      </c>
      <c r="B377" s="109">
        <v>45099</v>
      </c>
      <c r="C377" s="109">
        <v>45099</v>
      </c>
      <c r="D377" s="91" t="s">
        <v>808</v>
      </c>
      <c r="E377" s="91" t="s">
        <v>1091</v>
      </c>
      <c r="F377" s="91" t="s">
        <v>456</v>
      </c>
      <c r="G377" s="91" t="s">
        <v>481</v>
      </c>
      <c r="H377" s="91" t="s">
        <v>1061</v>
      </c>
      <c r="I377" s="254" t="s">
        <v>1231</v>
      </c>
      <c r="J377" s="91" t="s">
        <v>593</v>
      </c>
      <c r="K377" s="125"/>
      <c r="L377" s="84"/>
      <c r="M377" s="145"/>
      <c r="N377" s="84"/>
      <c r="O377" s="84"/>
      <c r="P377" s="84"/>
      <c r="Q377" s="84"/>
      <c r="R377" s="84"/>
      <c r="S377" s="84"/>
    </row>
    <row r="378" spans="1:19" ht="75" x14ac:dyDescent="0.25">
      <c r="A378" s="156" t="s">
        <v>1090</v>
      </c>
      <c r="B378" s="95">
        <v>45100</v>
      </c>
      <c r="C378" s="95">
        <v>45100</v>
      </c>
      <c r="D378" s="276" t="s">
        <v>516</v>
      </c>
      <c r="E378" s="276" t="s">
        <v>1232</v>
      </c>
      <c r="F378" s="276" t="s">
        <v>595</v>
      </c>
      <c r="G378" s="276" t="s">
        <v>195</v>
      </c>
      <c r="H378" s="276" t="s">
        <v>1061</v>
      </c>
      <c r="I378" s="192" t="s">
        <v>1233</v>
      </c>
      <c r="J378" s="276" t="s">
        <v>593</v>
      </c>
      <c r="K378" s="125"/>
      <c r="L378" s="84"/>
      <c r="M378" s="145"/>
      <c r="N378" s="84"/>
      <c r="O378" s="84"/>
      <c r="P378" s="84"/>
      <c r="Q378" s="84"/>
      <c r="R378" s="84"/>
      <c r="S378" s="84"/>
    </row>
    <row r="379" spans="1:19" ht="64.900000000000006" customHeight="1" x14ac:dyDescent="0.25">
      <c r="A379" s="156" t="s">
        <v>1098</v>
      </c>
      <c r="B379" s="95">
        <v>45100</v>
      </c>
      <c r="C379" s="95">
        <v>45100</v>
      </c>
      <c r="D379" s="276" t="s">
        <v>831</v>
      </c>
      <c r="E379" s="276" t="s">
        <v>1065</v>
      </c>
      <c r="F379" s="276" t="s">
        <v>195</v>
      </c>
      <c r="G379" s="207" t="s">
        <v>833</v>
      </c>
      <c r="H379" s="276" t="s">
        <v>1061</v>
      </c>
      <c r="I379" s="192" t="s">
        <v>1234</v>
      </c>
      <c r="J379" s="276" t="s">
        <v>593</v>
      </c>
      <c r="K379" s="139"/>
      <c r="L379" s="84"/>
      <c r="M379" s="145"/>
      <c r="N379" s="84"/>
      <c r="O379" s="84"/>
      <c r="P379" s="84"/>
      <c r="Q379" s="84"/>
      <c r="R379" s="84"/>
      <c r="S379" s="84"/>
    </row>
    <row r="380" spans="1:19" ht="28.9" customHeight="1" x14ac:dyDescent="0.25">
      <c r="A380" s="428" t="s">
        <v>1143</v>
      </c>
      <c r="B380" s="429"/>
      <c r="C380" s="429"/>
      <c r="D380" s="429"/>
      <c r="E380" s="429"/>
      <c r="F380" s="429"/>
      <c r="G380" s="429"/>
      <c r="H380" s="429"/>
      <c r="I380" s="429"/>
      <c r="J380" s="429"/>
      <c r="K380" s="430"/>
      <c r="L380" s="84"/>
      <c r="M380" s="145"/>
      <c r="N380" s="84"/>
      <c r="O380" s="84"/>
      <c r="P380" s="84"/>
      <c r="Q380" s="84"/>
      <c r="R380" s="84"/>
      <c r="S380" s="84"/>
    </row>
    <row r="381" spans="1:19" ht="60" x14ac:dyDescent="0.25">
      <c r="A381" s="91" t="s">
        <v>422</v>
      </c>
      <c r="B381" s="109">
        <v>45109</v>
      </c>
      <c r="C381" s="109">
        <v>45109</v>
      </c>
      <c r="D381" s="91" t="s">
        <v>789</v>
      </c>
      <c r="E381" s="91" t="s">
        <v>1137</v>
      </c>
      <c r="F381" s="91" t="s">
        <v>156</v>
      </c>
      <c r="G381" s="91" t="s">
        <v>195</v>
      </c>
      <c r="H381" s="91" t="s">
        <v>1138</v>
      </c>
      <c r="I381" s="91" t="s">
        <v>1139</v>
      </c>
      <c r="J381" s="91" t="s">
        <v>593</v>
      </c>
      <c r="K381" s="135"/>
      <c r="L381" s="84"/>
      <c r="M381" s="145"/>
      <c r="N381" s="84"/>
      <c r="O381" s="84"/>
      <c r="P381" s="84"/>
      <c r="Q381" s="84"/>
      <c r="R381" s="84"/>
      <c r="S381" s="84"/>
    </row>
    <row r="382" spans="1:19" ht="132" customHeight="1" x14ac:dyDescent="0.25">
      <c r="A382" s="276" t="s">
        <v>422</v>
      </c>
      <c r="B382" s="95">
        <v>45110</v>
      </c>
      <c r="C382" s="95">
        <v>45110</v>
      </c>
      <c r="D382" s="276" t="s">
        <v>430</v>
      </c>
      <c r="E382" s="276" t="s">
        <v>1142</v>
      </c>
      <c r="F382" s="276" t="s">
        <v>171</v>
      </c>
      <c r="G382" s="276" t="s">
        <v>400</v>
      </c>
      <c r="H382" s="276" t="s">
        <v>1138</v>
      </c>
      <c r="I382" s="192" t="s">
        <v>1140</v>
      </c>
      <c r="J382" s="276" t="s">
        <v>593</v>
      </c>
      <c r="K382" s="125"/>
      <c r="L382" s="84"/>
      <c r="M382" s="145"/>
      <c r="N382" s="84"/>
      <c r="O382" s="84"/>
      <c r="P382" s="84"/>
      <c r="Q382" s="84"/>
      <c r="R382" s="84"/>
      <c r="S382" s="84"/>
    </row>
    <row r="383" spans="1:19" ht="75" x14ac:dyDescent="0.25">
      <c r="A383" s="276" t="s">
        <v>422</v>
      </c>
      <c r="B383" s="95">
        <v>45111</v>
      </c>
      <c r="C383" s="95">
        <v>45118</v>
      </c>
      <c r="D383" s="276" t="s">
        <v>430</v>
      </c>
      <c r="E383" s="276" t="s">
        <v>1141</v>
      </c>
      <c r="F383" s="276" t="s">
        <v>171</v>
      </c>
      <c r="G383" s="192" t="s">
        <v>1159</v>
      </c>
      <c r="H383" s="276" t="s">
        <v>1138</v>
      </c>
      <c r="I383" s="192" t="s">
        <v>1160</v>
      </c>
      <c r="J383" s="276" t="s">
        <v>593</v>
      </c>
      <c r="K383" s="125"/>
      <c r="L383" s="84"/>
      <c r="M383" s="145"/>
      <c r="N383" s="84"/>
      <c r="O383" s="84"/>
      <c r="P383" s="84"/>
      <c r="Q383" s="84"/>
      <c r="R383" s="84"/>
      <c r="S383" s="84"/>
    </row>
    <row r="384" spans="1:19" ht="150" x14ac:dyDescent="0.25">
      <c r="A384" s="276" t="s">
        <v>422</v>
      </c>
      <c r="B384" s="95">
        <v>45119</v>
      </c>
      <c r="C384" s="95">
        <v>45119</v>
      </c>
      <c r="D384" s="276" t="s">
        <v>171</v>
      </c>
      <c r="E384" s="276" t="s">
        <v>1163</v>
      </c>
      <c r="F384" s="276" t="s">
        <v>531</v>
      </c>
      <c r="G384" s="276" t="s">
        <v>1162</v>
      </c>
      <c r="H384" s="276" t="s">
        <v>1157</v>
      </c>
      <c r="I384" s="192" t="s">
        <v>1158</v>
      </c>
      <c r="J384" s="276" t="s">
        <v>593</v>
      </c>
      <c r="K384" s="125"/>
      <c r="L384" s="84"/>
      <c r="M384" s="145"/>
      <c r="N384" s="84"/>
      <c r="O384" s="84"/>
      <c r="P384" s="84"/>
      <c r="Q384" s="84"/>
      <c r="R384" s="84"/>
      <c r="S384" s="84"/>
    </row>
    <row r="385" spans="1:19" ht="75" x14ac:dyDescent="0.25">
      <c r="A385" s="276" t="s">
        <v>422</v>
      </c>
      <c r="B385" s="95">
        <v>45120</v>
      </c>
      <c r="C385" s="240">
        <v>45127</v>
      </c>
      <c r="D385" s="276" t="s">
        <v>531</v>
      </c>
      <c r="E385" s="276" t="s">
        <v>1161</v>
      </c>
      <c r="F385" s="276" t="s">
        <v>192</v>
      </c>
      <c r="G385" s="237" t="s">
        <v>1067</v>
      </c>
      <c r="H385" s="276" t="s">
        <v>1138</v>
      </c>
      <c r="I385" s="192" t="s">
        <v>1176</v>
      </c>
      <c r="J385" s="276" t="s">
        <v>593</v>
      </c>
      <c r="K385" s="125"/>
      <c r="L385" s="84"/>
      <c r="M385" s="145"/>
      <c r="N385" s="84"/>
      <c r="O385" s="84"/>
      <c r="P385" s="84"/>
      <c r="Q385" s="84"/>
      <c r="R385" s="84"/>
      <c r="S385" s="84"/>
    </row>
    <row r="386" spans="1:19" ht="63.6" customHeight="1" x14ac:dyDescent="0.25">
      <c r="A386" s="276" t="s">
        <v>422</v>
      </c>
      <c r="B386" s="95">
        <v>45128</v>
      </c>
      <c r="C386" s="95">
        <v>45128</v>
      </c>
      <c r="D386" s="276" t="s">
        <v>808</v>
      </c>
      <c r="E386" s="276" t="s">
        <v>1170</v>
      </c>
      <c r="F386" s="276" t="s">
        <v>456</v>
      </c>
      <c r="G386" s="276" t="s">
        <v>481</v>
      </c>
      <c r="H386" s="276" t="s">
        <v>1138</v>
      </c>
      <c r="I386" s="192" t="s">
        <v>1168</v>
      </c>
      <c r="J386" s="276" t="s">
        <v>593</v>
      </c>
      <c r="K386" s="139"/>
      <c r="L386" s="84"/>
      <c r="M386" s="145"/>
      <c r="N386" s="84"/>
      <c r="O386" s="84"/>
      <c r="P386" s="84"/>
      <c r="Q386" s="84"/>
      <c r="R386" s="84"/>
      <c r="S386" s="84"/>
    </row>
    <row r="387" spans="1:19" ht="91.9" customHeight="1" x14ac:dyDescent="0.25">
      <c r="A387" s="276" t="s">
        <v>422</v>
      </c>
      <c r="B387" s="95">
        <v>45129</v>
      </c>
      <c r="C387" s="95">
        <v>45129</v>
      </c>
      <c r="D387" s="276" t="s">
        <v>516</v>
      </c>
      <c r="E387" s="276" t="s">
        <v>1171</v>
      </c>
      <c r="F387" s="276" t="s">
        <v>595</v>
      </c>
      <c r="G387" s="276" t="s">
        <v>195</v>
      </c>
      <c r="H387" s="276" t="s">
        <v>1138</v>
      </c>
      <c r="I387" s="192" t="s">
        <v>1169</v>
      </c>
      <c r="J387" s="276" t="s">
        <v>593</v>
      </c>
      <c r="K387" s="139"/>
      <c r="L387" s="84"/>
      <c r="M387" s="145"/>
      <c r="N387" s="84"/>
      <c r="O387" s="84"/>
      <c r="P387" s="84"/>
      <c r="Q387" s="84"/>
      <c r="R387" s="84"/>
      <c r="S387" s="84"/>
    </row>
    <row r="388" spans="1:19" ht="99.6" customHeight="1" x14ac:dyDescent="0.25">
      <c r="A388" s="82" t="s">
        <v>422</v>
      </c>
      <c r="B388" s="83">
        <v>45130</v>
      </c>
      <c r="C388" s="83">
        <v>45130</v>
      </c>
      <c r="D388" s="82" t="s">
        <v>831</v>
      </c>
      <c r="E388" s="82" t="s">
        <v>1172</v>
      </c>
      <c r="F388" s="82" t="s">
        <v>195</v>
      </c>
      <c r="G388" s="92" t="s">
        <v>833</v>
      </c>
      <c r="H388" s="82" t="s">
        <v>1138</v>
      </c>
      <c r="I388" s="110" t="s">
        <v>1173</v>
      </c>
      <c r="J388" s="82" t="s">
        <v>593</v>
      </c>
      <c r="K388" s="139"/>
      <c r="L388" s="84"/>
      <c r="M388" s="145"/>
      <c r="N388" s="84"/>
      <c r="O388" s="84"/>
      <c r="P388" s="84"/>
      <c r="Q388" s="84"/>
      <c r="R388" s="84"/>
      <c r="S388" s="84"/>
    </row>
    <row r="389" spans="1:19" ht="35.450000000000003" customHeight="1" x14ac:dyDescent="0.25">
      <c r="A389" s="422" t="s">
        <v>1144</v>
      </c>
      <c r="B389" s="423"/>
      <c r="C389" s="423"/>
      <c r="D389" s="423"/>
      <c r="E389" s="423"/>
      <c r="F389" s="423"/>
      <c r="G389" s="423"/>
      <c r="H389" s="423"/>
      <c r="I389" s="423"/>
      <c r="J389" s="423"/>
      <c r="K389" s="424"/>
      <c r="L389" s="84"/>
      <c r="M389" s="145"/>
      <c r="N389" s="84"/>
      <c r="O389" s="84"/>
      <c r="P389" s="84"/>
      <c r="Q389" s="84"/>
      <c r="R389" s="84"/>
      <c r="S389" s="84"/>
    </row>
    <row r="390" spans="1:19" ht="60" x14ac:dyDescent="0.25">
      <c r="A390" s="276" t="s">
        <v>1146</v>
      </c>
      <c r="B390" s="95">
        <v>45109</v>
      </c>
      <c r="C390" s="95">
        <v>45109</v>
      </c>
      <c r="D390" s="276" t="s">
        <v>789</v>
      </c>
      <c r="E390" s="276" t="s">
        <v>1147</v>
      </c>
      <c r="F390" s="276" t="s">
        <v>156</v>
      </c>
      <c r="G390" s="276" t="s">
        <v>195</v>
      </c>
      <c r="H390" s="276" t="s">
        <v>1138</v>
      </c>
      <c r="I390" s="276" t="s">
        <v>1179</v>
      </c>
      <c r="J390" s="276" t="s">
        <v>593</v>
      </c>
      <c r="K390" s="135"/>
      <c r="L390" s="84"/>
      <c r="M390" s="145"/>
      <c r="N390" s="84"/>
      <c r="O390" s="84"/>
      <c r="P390" s="84"/>
      <c r="Q390" s="84"/>
      <c r="R390" s="84"/>
      <c r="S390" s="84"/>
    </row>
    <row r="391" spans="1:19" ht="129" customHeight="1" x14ac:dyDescent="0.25">
      <c r="A391" s="276" t="s">
        <v>1146</v>
      </c>
      <c r="B391" s="95">
        <v>45110</v>
      </c>
      <c r="C391" s="95">
        <v>45110</v>
      </c>
      <c r="D391" s="276" t="s">
        <v>430</v>
      </c>
      <c r="E391" s="276" t="s">
        <v>1148</v>
      </c>
      <c r="F391" s="276" t="s">
        <v>171</v>
      </c>
      <c r="G391" s="276" t="s">
        <v>400</v>
      </c>
      <c r="H391" s="276" t="s">
        <v>1138</v>
      </c>
      <c r="I391" s="192" t="s">
        <v>1180</v>
      </c>
      <c r="J391" s="276" t="s">
        <v>593</v>
      </c>
      <c r="K391" s="125"/>
      <c r="L391" s="84"/>
      <c r="M391" s="145"/>
      <c r="N391" s="84"/>
      <c r="O391" s="84"/>
      <c r="P391" s="84"/>
      <c r="Q391" s="84"/>
      <c r="R391" s="84"/>
      <c r="S391" s="84"/>
    </row>
    <row r="392" spans="1:19" ht="75" x14ac:dyDescent="0.25">
      <c r="A392" s="276" t="s">
        <v>1146</v>
      </c>
      <c r="B392" s="95">
        <v>45111</v>
      </c>
      <c r="C392" s="95">
        <v>45118</v>
      </c>
      <c r="D392" s="276" t="s">
        <v>430</v>
      </c>
      <c r="E392" s="276" t="s">
        <v>1149</v>
      </c>
      <c r="F392" s="276" t="s">
        <v>171</v>
      </c>
      <c r="G392" s="192" t="s">
        <v>1159</v>
      </c>
      <c r="H392" s="276" t="s">
        <v>1138</v>
      </c>
      <c r="I392" s="192" t="s">
        <v>1181</v>
      </c>
      <c r="J392" s="276" t="s">
        <v>593</v>
      </c>
      <c r="K392" s="125"/>
      <c r="L392" s="84"/>
      <c r="M392" s="145"/>
      <c r="N392" s="84"/>
      <c r="O392" s="84"/>
      <c r="P392" s="84"/>
      <c r="Q392" s="84"/>
      <c r="R392" s="84"/>
      <c r="S392" s="84"/>
    </row>
    <row r="393" spans="1:19" ht="150" x14ac:dyDescent="0.25">
      <c r="A393" s="276" t="s">
        <v>1146</v>
      </c>
      <c r="B393" s="95">
        <v>45119</v>
      </c>
      <c r="C393" s="95">
        <v>45119</v>
      </c>
      <c r="D393" s="276" t="s">
        <v>171</v>
      </c>
      <c r="E393" s="276" t="s">
        <v>1164</v>
      </c>
      <c r="F393" s="276" t="s">
        <v>531</v>
      </c>
      <c r="G393" s="276" t="s">
        <v>1162</v>
      </c>
      <c r="H393" s="276" t="s">
        <v>1157</v>
      </c>
      <c r="I393" s="192" t="s">
        <v>1165</v>
      </c>
      <c r="J393" s="276" t="s">
        <v>593</v>
      </c>
      <c r="K393" s="125"/>
      <c r="L393" s="84"/>
      <c r="M393" s="145"/>
      <c r="N393" s="84"/>
      <c r="O393" s="84"/>
      <c r="P393" s="84"/>
      <c r="Q393" s="84"/>
      <c r="R393" s="84"/>
      <c r="S393" s="84"/>
    </row>
    <row r="394" spans="1:19" ht="75" x14ac:dyDescent="0.25">
      <c r="A394" s="82" t="s">
        <v>1146</v>
      </c>
      <c r="B394" s="83">
        <v>45120</v>
      </c>
      <c r="C394" s="206">
        <v>45127</v>
      </c>
      <c r="D394" s="82" t="s">
        <v>531</v>
      </c>
      <c r="E394" s="82" t="s">
        <v>1174</v>
      </c>
      <c r="F394" s="82" t="s">
        <v>192</v>
      </c>
      <c r="G394" s="262" t="s">
        <v>1067</v>
      </c>
      <c r="H394" s="82" t="s">
        <v>1138</v>
      </c>
      <c r="I394" s="110" t="s">
        <v>1175</v>
      </c>
      <c r="J394" s="82" t="s">
        <v>593</v>
      </c>
      <c r="K394" s="125"/>
      <c r="L394" s="84"/>
      <c r="M394" s="145"/>
      <c r="N394" s="84"/>
      <c r="O394" s="84"/>
      <c r="P394" s="84"/>
      <c r="Q394" s="84"/>
      <c r="R394" s="84"/>
      <c r="S394" s="84"/>
    </row>
    <row r="395" spans="1:19" ht="60" x14ac:dyDescent="0.25">
      <c r="A395" s="91" t="s">
        <v>422</v>
      </c>
      <c r="B395" s="109">
        <v>45128</v>
      </c>
      <c r="C395" s="109">
        <v>45128</v>
      </c>
      <c r="D395" s="91" t="s">
        <v>808</v>
      </c>
      <c r="E395" s="91" t="s">
        <v>1177</v>
      </c>
      <c r="F395" s="91" t="s">
        <v>456</v>
      </c>
      <c r="G395" s="91" t="s">
        <v>481</v>
      </c>
      <c r="H395" s="91" t="s">
        <v>1138</v>
      </c>
      <c r="I395" s="254" t="s">
        <v>1178</v>
      </c>
      <c r="J395" s="91" t="s">
        <v>593</v>
      </c>
      <c r="L395" s="84"/>
      <c r="M395" s="145"/>
      <c r="N395" s="84"/>
      <c r="O395" s="84"/>
      <c r="P395" s="84"/>
      <c r="Q395" s="84"/>
      <c r="R395" s="84"/>
      <c r="S395" s="84"/>
    </row>
    <row r="396" spans="1:19" ht="90" x14ac:dyDescent="0.25">
      <c r="A396" s="276" t="s">
        <v>422</v>
      </c>
      <c r="B396" s="95">
        <v>45129</v>
      </c>
      <c r="C396" s="95">
        <v>45129</v>
      </c>
      <c r="D396" s="276" t="s">
        <v>516</v>
      </c>
      <c r="E396" s="276" t="s">
        <v>1182</v>
      </c>
      <c r="F396" s="276" t="s">
        <v>595</v>
      </c>
      <c r="G396" s="276" t="s">
        <v>195</v>
      </c>
      <c r="H396" s="276" t="s">
        <v>1138</v>
      </c>
      <c r="I396" s="192" t="s">
        <v>1190</v>
      </c>
      <c r="J396" s="276" t="s">
        <v>593</v>
      </c>
      <c r="L396" s="84"/>
      <c r="M396" s="145"/>
      <c r="N396" s="84"/>
      <c r="O396" s="84"/>
      <c r="P396" s="84"/>
      <c r="Q396" s="84"/>
      <c r="R396" s="84"/>
      <c r="S396" s="84"/>
    </row>
    <row r="397" spans="1:19" ht="60" x14ac:dyDescent="0.25">
      <c r="A397" s="82" t="s">
        <v>422</v>
      </c>
      <c r="B397" s="83">
        <v>45130</v>
      </c>
      <c r="C397" s="83">
        <v>45130</v>
      </c>
      <c r="D397" s="82" t="s">
        <v>831</v>
      </c>
      <c r="E397" s="82" t="s">
        <v>1183</v>
      </c>
      <c r="F397" s="82" t="s">
        <v>195</v>
      </c>
      <c r="G397" s="92" t="s">
        <v>833</v>
      </c>
      <c r="H397" s="82" t="s">
        <v>1138</v>
      </c>
      <c r="I397" s="110" t="s">
        <v>1184</v>
      </c>
      <c r="J397" s="82" t="s">
        <v>593</v>
      </c>
      <c r="K397" s="276"/>
      <c r="L397" s="84"/>
      <c r="M397" s="145"/>
      <c r="N397" s="84"/>
      <c r="O397" s="84"/>
      <c r="P397" s="84"/>
      <c r="Q397" s="84"/>
      <c r="R397" s="84"/>
      <c r="S397" s="84"/>
    </row>
    <row r="398" spans="1:19" ht="41.45" customHeight="1" x14ac:dyDescent="0.25">
      <c r="A398" s="422" t="s">
        <v>1145</v>
      </c>
      <c r="B398" s="423"/>
      <c r="C398" s="423"/>
      <c r="D398" s="423"/>
      <c r="E398" s="423"/>
      <c r="F398" s="423"/>
      <c r="G398" s="423"/>
      <c r="H398" s="423"/>
      <c r="I398" s="423"/>
      <c r="J398" s="423"/>
      <c r="K398" s="424"/>
      <c r="L398" s="84"/>
      <c r="M398" s="145"/>
      <c r="N398" s="84"/>
      <c r="O398" s="84"/>
      <c r="P398" s="84"/>
      <c r="Q398" s="84"/>
      <c r="R398" s="84"/>
      <c r="S398" s="84"/>
    </row>
    <row r="399" spans="1:19" ht="60" x14ac:dyDescent="0.25">
      <c r="A399" s="276" t="s">
        <v>1150</v>
      </c>
      <c r="B399" s="95">
        <v>45109</v>
      </c>
      <c r="C399" s="95">
        <v>45109</v>
      </c>
      <c r="D399" s="276" t="s">
        <v>789</v>
      </c>
      <c r="E399" s="276" t="s">
        <v>1151</v>
      </c>
      <c r="F399" s="276" t="s">
        <v>156</v>
      </c>
      <c r="G399" s="276" t="s">
        <v>195</v>
      </c>
      <c r="H399" s="276" t="s">
        <v>1138</v>
      </c>
      <c r="I399" s="276" t="s">
        <v>1153</v>
      </c>
      <c r="J399" s="276" t="s">
        <v>593</v>
      </c>
      <c r="K399" s="135"/>
      <c r="L399" s="84"/>
      <c r="M399" s="145"/>
      <c r="N399" s="84"/>
      <c r="O399" s="84"/>
      <c r="P399" s="84"/>
      <c r="Q399" s="84"/>
      <c r="R399" s="84"/>
      <c r="S399" s="84"/>
    </row>
    <row r="400" spans="1:19" ht="115.15" customHeight="1" x14ac:dyDescent="0.25">
      <c r="A400" s="276" t="s">
        <v>1150</v>
      </c>
      <c r="B400" s="95">
        <v>45110</v>
      </c>
      <c r="C400" s="95">
        <v>45110</v>
      </c>
      <c r="D400" s="276" t="s">
        <v>430</v>
      </c>
      <c r="E400" s="276" t="s">
        <v>1152</v>
      </c>
      <c r="F400" s="276" t="s">
        <v>171</v>
      </c>
      <c r="G400" s="276" t="s">
        <v>400</v>
      </c>
      <c r="H400" s="276" t="s">
        <v>1138</v>
      </c>
      <c r="I400" s="192" t="s">
        <v>1154</v>
      </c>
      <c r="J400" s="276" t="s">
        <v>593</v>
      </c>
      <c r="K400" s="125"/>
      <c r="L400" s="84"/>
      <c r="M400" s="145"/>
      <c r="N400" s="84"/>
      <c r="O400" s="84"/>
      <c r="P400" s="84"/>
      <c r="Q400" s="84"/>
      <c r="R400" s="84"/>
      <c r="S400" s="84"/>
    </row>
    <row r="401" spans="1:19" ht="75" x14ac:dyDescent="0.25">
      <c r="A401" s="276" t="s">
        <v>1150</v>
      </c>
      <c r="B401" s="95">
        <v>45111</v>
      </c>
      <c r="C401" s="95">
        <v>45118</v>
      </c>
      <c r="D401" s="276" t="s">
        <v>430</v>
      </c>
      <c r="E401" s="276" t="s">
        <v>1155</v>
      </c>
      <c r="F401" s="276" t="s">
        <v>171</v>
      </c>
      <c r="G401" s="192" t="s">
        <v>1159</v>
      </c>
      <c r="H401" s="276" t="s">
        <v>1138</v>
      </c>
      <c r="I401" s="192" t="s">
        <v>1156</v>
      </c>
      <c r="J401" s="276" t="s">
        <v>593</v>
      </c>
      <c r="K401" s="125"/>
      <c r="L401" s="84"/>
      <c r="M401" s="145"/>
      <c r="N401" s="84"/>
      <c r="O401" s="84"/>
      <c r="P401" s="84"/>
      <c r="Q401" s="84"/>
      <c r="R401" s="84"/>
      <c r="S401" s="84"/>
    </row>
    <row r="402" spans="1:19" ht="150" x14ac:dyDescent="0.25">
      <c r="A402" s="276" t="s">
        <v>1150</v>
      </c>
      <c r="B402" s="95">
        <v>45119</v>
      </c>
      <c r="C402" s="95">
        <v>45119</v>
      </c>
      <c r="D402" s="276" t="s">
        <v>171</v>
      </c>
      <c r="E402" s="276" t="s">
        <v>1166</v>
      </c>
      <c r="F402" s="276" t="s">
        <v>531</v>
      </c>
      <c r="G402" s="276" t="s">
        <v>1162</v>
      </c>
      <c r="H402" s="276" t="s">
        <v>1157</v>
      </c>
      <c r="I402" s="192" t="s">
        <v>1167</v>
      </c>
      <c r="J402" s="276" t="s">
        <v>593</v>
      </c>
      <c r="K402" s="125"/>
      <c r="L402" s="84"/>
      <c r="M402" s="145"/>
      <c r="N402" s="84"/>
      <c r="O402" s="84"/>
      <c r="P402" s="84"/>
      <c r="Q402" s="84"/>
      <c r="R402" s="84"/>
      <c r="S402" s="84"/>
    </row>
    <row r="403" spans="1:19" ht="75" x14ac:dyDescent="0.25">
      <c r="A403" s="82" t="s">
        <v>1150</v>
      </c>
      <c r="B403" s="83">
        <v>45120</v>
      </c>
      <c r="C403" s="206">
        <v>45127</v>
      </c>
      <c r="D403" s="82" t="s">
        <v>531</v>
      </c>
      <c r="E403" s="82" t="s">
        <v>1185</v>
      </c>
      <c r="F403" s="82" t="s">
        <v>192</v>
      </c>
      <c r="G403" s="262" t="s">
        <v>1067</v>
      </c>
      <c r="H403" s="82" t="s">
        <v>1138</v>
      </c>
      <c r="I403" s="110" t="s">
        <v>1186</v>
      </c>
      <c r="J403" s="82" t="s">
        <v>593</v>
      </c>
      <c r="K403" s="125"/>
      <c r="L403" s="84"/>
      <c r="M403" s="145"/>
      <c r="N403" s="84"/>
      <c r="O403" s="84"/>
      <c r="P403" s="84"/>
      <c r="Q403" s="84"/>
      <c r="R403" s="84"/>
      <c r="S403" s="84"/>
    </row>
    <row r="404" spans="1:19" ht="60" x14ac:dyDescent="0.25">
      <c r="A404" s="122" t="s">
        <v>1150</v>
      </c>
      <c r="B404" s="127">
        <v>45128</v>
      </c>
      <c r="C404" s="127">
        <v>45128</v>
      </c>
      <c r="D404" s="122" t="s">
        <v>808</v>
      </c>
      <c r="E404" s="122" t="s">
        <v>1187</v>
      </c>
      <c r="F404" s="122" t="s">
        <v>456</v>
      </c>
      <c r="G404" s="122" t="s">
        <v>481</v>
      </c>
      <c r="H404" s="122" t="s">
        <v>1138</v>
      </c>
      <c r="I404" s="142" t="s">
        <v>1188</v>
      </c>
      <c r="J404" s="122" t="s">
        <v>593</v>
      </c>
      <c r="K404" s="125"/>
      <c r="L404" s="84"/>
      <c r="M404" s="145"/>
      <c r="N404" s="84"/>
      <c r="O404" s="84"/>
      <c r="P404" s="84"/>
      <c r="Q404" s="84"/>
      <c r="R404" s="84"/>
      <c r="S404" s="84"/>
    </row>
    <row r="405" spans="1:19" ht="90" x14ac:dyDescent="0.25">
      <c r="A405" s="122" t="s">
        <v>1150</v>
      </c>
      <c r="B405" s="127">
        <v>45129</v>
      </c>
      <c r="C405" s="127">
        <v>45129</v>
      </c>
      <c r="D405" s="122" t="s">
        <v>516</v>
      </c>
      <c r="E405" s="122" t="s">
        <v>1189</v>
      </c>
      <c r="F405" s="122" t="s">
        <v>595</v>
      </c>
      <c r="G405" s="122" t="s">
        <v>195</v>
      </c>
      <c r="H405" s="122" t="s">
        <v>1138</v>
      </c>
      <c r="I405" s="142" t="s">
        <v>1191</v>
      </c>
      <c r="J405" s="122" t="s">
        <v>593</v>
      </c>
      <c r="K405" s="125"/>
      <c r="L405" s="84"/>
      <c r="M405" s="145"/>
      <c r="N405" s="84"/>
      <c r="O405" s="84"/>
      <c r="P405" s="84"/>
      <c r="Q405" s="84"/>
      <c r="R405" s="84"/>
      <c r="S405" s="84"/>
    </row>
    <row r="406" spans="1:19" ht="72.599999999999994" customHeight="1" x14ac:dyDescent="0.25">
      <c r="A406" s="91" t="s">
        <v>1150</v>
      </c>
      <c r="B406" s="109">
        <v>45130</v>
      </c>
      <c r="C406" s="109">
        <v>45130</v>
      </c>
      <c r="D406" s="91" t="s">
        <v>831</v>
      </c>
      <c r="E406" s="91" t="s">
        <v>1193</v>
      </c>
      <c r="F406" s="91" t="s">
        <v>195</v>
      </c>
      <c r="G406" s="253" t="s">
        <v>833</v>
      </c>
      <c r="H406" s="91" t="s">
        <v>1138</v>
      </c>
      <c r="I406" s="254" t="s">
        <v>1192</v>
      </c>
      <c r="J406" s="91" t="s">
        <v>593</v>
      </c>
      <c r="K406" s="139"/>
      <c r="L406" s="84"/>
      <c r="M406" s="145"/>
      <c r="N406" s="84"/>
      <c r="O406" s="84"/>
      <c r="P406" s="84"/>
      <c r="Q406" s="84"/>
      <c r="R406" s="84"/>
      <c r="S406" s="84"/>
    </row>
    <row r="407" spans="1:19" ht="79.900000000000006" customHeight="1" x14ac:dyDescent="0.25">
      <c r="A407" s="431" t="s">
        <v>1194</v>
      </c>
      <c r="B407" s="432"/>
      <c r="C407" s="432"/>
      <c r="D407" s="432"/>
      <c r="E407" s="432"/>
      <c r="F407" s="432"/>
      <c r="G407" s="432"/>
      <c r="H407" s="432"/>
      <c r="I407" s="432"/>
      <c r="J407" s="432"/>
      <c r="K407" s="433"/>
      <c r="L407" s="84"/>
      <c r="M407" s="145"/>
      <c r="N407" s="84"/>
      <c r="O407" s="84"/>
      <c r="P407" s="84"/>
      <c r="Q407" s="84"/>
      <c r="R407" s="84"/>
      <c r="S407" s="84"/>
    </row>
    <row r="408" spans="1:19" ht="66.599999999999994" customHeight="1" x14ac:dyDescent="0.25">
      <c r="A408" s="271" t="s">
        <v>1242</v>
      </c>
      <c r="B408" s="95">
        <v>45109</v>
      </c>
      <c r="C408" s="95">
        <v>45109</v>
      </c>
      <c r="D408" s="276" t="s">
        <v>1195</v>
      </c>
      <c r="E408" s="276" t="s">
        <v>1253</v>
      </c>
      <c r="F408" s="276" t="s">
        <v>156</v>
      </c>
      <c r="G408" s="276" t="s">
        <v>195</v>
      </c>
      <c r="H408" s="91" t="s">
        <v>1248</v>
      </c>
      <c r="I408" s="254" t="s">
        <v>1249</v>
      </c>
      <c r="J408" s="91" t="s">
        <v>593</v>
      </c>
      <c r="K408" s="135"/>
      <c r="L408" s="84"/>
      <c r="M408" s="145"/>
      <c r="N408" s="84"/>
      <c r="O408" s="84"/>
      <c r="P408" s="84"/>
      <c r="Q408" s="84"/>
      <c r="R408" s="84"/>
      <c r="S408" s="84"/>
    </row>
    <row r="409" spans="1:19" ht="126" customHeight="1" x14ac:dyDescent="0.25">
      <c r="A409" s="271" t="s">
        <v>1243</v>
      </c>
      <c r="B409" s="95">
        <v>45109</v>
      </c>
      <c r="C409" s="95">
        <v>45109</v>
      </c>
      <c r="D409" s="82" t="s">
        <v>155</v>
      </c>
      <c r="E409" s="276" t="s">
        <v>1250</v>
      </c>
      <c r="F409" s="276" t="s">
        <v>531</v>
      </c>
      <c r="G409" s="276" t="s">
        <v>400</v>
      </c>
      <c r="H409" s="82" t="s">
        <v>1248</v>
      </c>
      <c r="I409" s="110" t="s">
        <v>1251</v>
      </c>
      <c r="J409" s="82" t="s">
        <v>593</v>
      </c>
      <c r="K409" s="125"/>
      <c r="L409" s="84"/>
      <c r="M409" s="145"/>
      <c r="N409" s="84"/>
      <c r="O409" s="84"/>
      <c r="P409" s="84"/>
      <c r="Q409" s="84"/>
      <c r="R409" s="84"/>
      <c r="S409" s="84"/>
    </row>
    <row r="410" spans="1:19" ht="60" x14ac:dyDescent="0.25">
      <c r="A410" s="271" t="s">
        <v>1244</v>
      </c>
      <c r="B410" s="95">
        <v>45110</v>
      </c>
      <c r="C410" s="95">
        <v>45110</v>
      </c>
      <c r="D410" s="276" t="s">
        <v>531</v>
      </c>
      <c r="E410" s="276" t="s">
        <v>1254</v>
      </c>
      <c r="F410" s="276" t="s">
        <v>192</v>
      </c>
      <c r="G410" s="237" t="s">
        <v>1255</v>
      </c>
      <c r="H410" s="276" t="s">
        <v>1248</v>
      </c>
      <c r="I410" s="192" t="s">
        <v>1252</v>
      </c>
      <c r="J410" s="276" t="s">
        <v>593</v>
      </c>
      <c r="K410" s="125"/>
      <c r="L410" s="84"/>
      <c r="M410" s="145"/>
      <c r="N410" s="84"/>
      <c r="O410" s="84"/>
      <c r="P410" s="84"/>
      <c r="Q410" s="84"/>
      <c r="R410" s="84"/>
      <c r="S410" s="84"/>
    </row>
    <row r="411" spans="1:19" x14ac:dyDescent="0.25">
      <c r="A411" s="420" t="s">
        <v>1370</v>
      </c>
      <c r="B411" s="420"/>
      <c r="C411" s="420"/>
      <c r="D411" s="420"/>
      <c r="E411" s="420"/>
      <c r="F411" s="420"/>
      <c r="G411" s="420"/>
      <c r="H411" s="420"/>
      <c r="I411" s="420"/>
      <c r="J411" s="420"/>
      <c r="K411" s="125"/>
      <c r="L411" s="84"/>
      <c r="M411" s="145"/>
      <c r="N411" s="84"/>
      <c r="O411" s="84"/>
      <c r="P411" s="84"/>
      <c r="Q411" s="84"/>
      <c r="R411" s="84"/>
      <c r="S411" s="84"/>
    </row>
    <row r="412" spans="1:19" ht="60" x14ac:dyDescent="0.25">
      <c r="A412" s="122" t="s">
        <v>1352</v>
      </c>
      <c r="B412" s="127">
        <v>45179</v>
      </c>
      <c r="C412" s="127">
        <v>45179</v>
      </c>
      <c r="D412" s="122" t="s">
        <v>1292</v>
      </c>
      <c r="E412" s="245" t="s">
        <v>1375</v>
      </c>
      <c r="F412" s="122" t="s">
        <v>1268</v>
      </c>
      <c r="G412" s="122" t="s">
        <v>1378</v>
      </c>
      <c r="H412" s="122" t="s">
        <v>1379</v>
      </c>
      <c r="I412" s="122" t="str">
        <f>CONCATENATE("Приложение"," ","№", A412,)</f>
        <v>Приложение №6-ОС</v>
      </c>
      <c r="J412" s="161" t="s">
        <v>1267</v>
      </c>
      <c r="K412" s="125"/>
      <c r="L412" s="84"/>
      <c r="M412" s="145"/>
      <c r="N412" s="84"/>
      <c r="O412" s="84"/>
      <c r="P412" s="84"/>
      <c r="Q412" s="84"/>
      <c r="R412" s="84"/>
      <c r="S412" s="84"/>
    </row>
    <row r="413" spans="1:19" ht="75" x14ac:dyDescent="0.25">
      <c r="A413" s="91" t="s">
        <v>1353</v>
      </c>
      <c r="B413" s="109">
        <v>45179</v>
      </c>
      <c r="C413" s="109">
        <v>45179</v>
      </c>
      <c r="D413" s="91" t="s">
        <v>1293</v>
      </c>
      <c r="E413" s="277" t="s">
        <v>1377</v>
      </c>
      <c r="F413" s="91" t="s">
        <v>1269</v>
      </c>
      <c r="G413" s="91" t="s">
        <v>1376</v>
      </c>
      <c r="H413" s="91" t="s">
        <v>1302</v>
      </c>
      <c r="I413" s="91" t="str">
        <f>CONCATENATE("Приложение"," ","№", A413,)</f>
        <v>Приложение №6-НИ</v>
      </c>
      <c r="J413" s="170" t="s">
        <v>1267</v>
      </c>
      <c r="K413" s="125"/>
      <c r="L413" s="84"/>
      <c r="M413" s="145"/>
      <c r="N413" s="84"/>
      <c r="O413" s="84"/>
      <c r="P413" s="84"/>
      <c r="Q413" s="84"/>
      <c r="R413" s="84"/>
      <c r="S413" s="84"/>
    </row>
    <row r="414" spans="1:19" ht="120" x14ac:dyDescent="0.25">
      <c r="A414" s="82" t="s">
        <v>1371</v>
      </c>
      <c r="B414" s="83">
        <v>45180</v>
      </c>
      <c r="C414" s="83">
        <v>45180</v>
      </c>
      <c r="D414" s="82" t="s">
        <v>1354</v>
      </c>
      <c r="E414" s="85" t="s">
        <v>1372</v>
      </c>
      <c r="F414" s="82" t="s">
        <v>1357</v>
      </c>
      <c r="G414" s="82" t="s">
        <v>1380</v>
      </c>
      <c r="H414" s="82" t="s">
        <v>1302</v>
      </c>
      <c r="I414" s="82" t="str">
        <f>CONCATENATE("Приложение"," ","№", A414,)</f>
        <v>Приложение №4-ННБ</v>
      </c>
      <c r="J414" s="107" t="s">
        <v>1267</v>
      </c>
      <c r="K414" s="125"/>
      <c r="L414" s="84"/>
      <c r="M414" s="145"/>
      <c r="N414" s="84"/>
      <c r="O414" s="84"/>
      <c r="P414" s="84"/>
      <c r="Q414" s="84"/>
      <c r="R414" s="84"/>
      <c r="S414" s="84"/>
    </row>
    <row r="415" spans="1:19" s="84" customFormat="1" ht="210" x14ac:dyDescent="0.25">
      <c r="A415" s="91" t="s">
        <v>1356</v>
      </c>
      <c r="B415" s="109">
        <v>45197</v>
      </c>
      <c r="C415" s="109">
        <v>45197</v>
      </c>
      <c r="D415" s="91" t="s">
        <v>1358</v>
      </c>
      <c r="E415" s="190" t="s">
        <v>1373</v>
      </c>
      <c r="F415" s="91" t="s">
        <v>1286</v>
      </c>
      <c r="G415" s="281" t="s">
        <v>1391</v>
      </c>
      <c r="H415" s="91" t="s">
        <v>1302</v>
      </c>
      <c r="I415" s="91" t="str">
        <f>CONCATENATE("Приложение"," ","№", A415,)</f>
        <v>Приложение №1-ПТ</v>
      </c>
      <c r="J415" s="170" t="s">
        <v>1267</v>
      </c>
      <c r="K415" s="155" t="s">
        <v>195</v>
      </c>
      <c r="L415" s="125" t="s">
        <v>313</v>
      </c>
      <c r="M415" s="83">
        <v>44968</v>
      </c>
      <c r="N415" s="82" t="s">
        <v>224</v>
      </c>
      <c r="O415" s="82" t="s">
        <v>334</v>
      </c>
      <c r="P415" s="82" t="s">
        <v>314</v>
      </c>
      <c r="Q415" s="82" t="s">
        <v>226</v>
      </c>
      <c r="R415" s="82" t="s">
        <v>154</v>
      </c>
      <c r="S415" s="82"/>
    </row>
    <row r="416" spans="1:19" x14ac:dyDescent="0.25">
      <c r="A416" s="420" t="s">
        <v>1381</v>
      </c>
      <c r="B416" s="420"/>
      <c r="C416" s="420"/>
      <c r="D416" s="420"/>
      <c r="E416" s="420"/>
      <c r="F416" s="420"/>
      <c r="G416" s="420"/>
      <c r="H416" s="420"/>
      <c r="I416" s="420"/>
      <c r="J416" s="420"/>
      <c r="K416" s="125"/>
      <c r="L416" s="84"/>
      <c r="M416" s="145"/>
      <c r="N416" s="84"/>
      <c r="O416" s="84"/>
      <c r="P416" s="84"/>
      <c r="Q416" s="84"/>
      <c r="R416" s="84"/>
      <c r="S416" s="84"/>
    </row>
    <row r="417" spans="1:19" ht="60" x14ac:dyDescent="0.25">
      <c r="A417" s="122" t="s">
        <v>1366</v>
      </c>
      <c r="B417" s="127">
        <v>45183</v>
      </c>
      <c r="C417" s="127">
        <v>45183</v>
      </c>
      <c r="D417" s="122" t="s">
        <v>1292</v>
      </c>
      <c r="E417" s="245" t="s">
        <v>1385</v>
      </c>
      <c r="F417" s="122" t="s">
        <v>1268</v>
      </c>
      <c r="G417" s="122" t="s">
        <v>1378</v>
      </c>
      <c r="H417" s="122" t="s">
        <v>1302</v>
      </c>
      <c r="I417" s="122" t="str">
        <f>CONCATENATE("Приложение"," ","№", A417,)</f>
        <v>Приложение №7-ОС</v>
      </c>
      <c r="J417" s="161" t="s">
        <v>1267</v>
      </c>
      <c r="K417" s="125"/>
      <c r="L417" s="84"/>
      <c r="M417" s="145"/>
      <c r="N417" s="84"/>
      <c r="O417" s="84"/>
      <c r="P417" s="84"/>
      <c r="Q417" s="84"/>
      <c r="R417" s="84"/>
      <c r="S417" s="84"/>
    </row>
    <row r="418" spans="1:19" ht="75" x14ac:dyDescent="0.25">
      <c r="A418" s="91" t="s">
        <v>1367</v>
      </c>
      <c r="B418" s="109">
        <v>45183</v>
      </c>
      <c r="C418" s="109">
        <v>45183</v>
      </c>
      <c r="D418" s="91" t="s">
        <v>1293</v>
      </c>
      <c r="E418" s="277" t="s">
        <v>1387</v>
      </c>
      <c r="F418" s="91" t="s">
        <v>1269</v>
      </c>
      <c r="G418" s="91" t="s">
        <v>1386</v>
      </c>
      <c r="H418" s="91" t="s">
        <v>1302</v>
      </c>
      <c r="I418" s="91" t="str">
        <f>CONCATENATE("Приложение"," ","№", A418,)</f>
        <v>Приложение №7-НИ</v>
      </c>
      <c r="J418" s="170" t="s">
        <v>1267</v>
      </c>
      <c r="K418" s="125"/>
      <c r="L418" s="84"/>
      <c r="M418" s="145"/>
      <c r="N418" s="84"/>
      <c r="O418" s="84"/>
      <c r="P418" s="84"/>
      <c r="Q418" s="84"/>
      <c r="R418" s="84"/>
      <c r="S418" s="84"/>
    </row>
    <row r="419" spans="1:19" ht="135" x14ac:dyDescent="0.25">
      <c r="A419" s="82" t="s">
        <v>1374</v>
      </c>
      <c r="B419" s="83">
        <v>45184</v>
      </c>
      <c r="C419" s="83">
        <v>45184</v>
      </c>
      <c r="D419" s="82" t="s">
        <v>1354</v>
      </c>
      <c r="E419" s="85" t="s">
        <v>1382</v>
      </c>
      <c r="F419" s="82" t="s">
        <v>1357</v>
      </c>
      <c r="G419" s="82" t="s">
        <v>1390</v>
      </c>
      <c r="H419" s="82" t="s">
        <v>1302</v>
      </c>
      <c r="I419" s="82" t="str">
        <f>CONCATENATE("Приложение"," ","№", A419,)</f>
        <v>Приложение №5-ННБ</v>
      </c>
      <c r="J419" s="107" t="s">
        <v>1267</v>
      </c>
      <c r="K419" s="125"/>
      <c r="L419" s="84"/>
      <c r="M419" s="145"/>
      <c r="N419" s="84"/>
      <c r="O419" s="84"/>
      <c r="P419" s="84"/>
      <c r="Q419" s="84"/>
      <c r="R419" s="84"/>
      <c r="S419" s="84"/>
    </row>
    <row r="420" spans="1:19" s="84" customFormat="1" ht="210" x14ac:dyDescent="0.25">
      <c r="A420" s="91" t="s">
        <v>1369</v>
      </c>
      <c r="B420" s="109">
        <v>45185</v>
      </c>
      <c r="C420" s="109">
        <v>45185</v>
      </c>
      <c r="D420" s="91" t="s">
        <v>1358</v>
      </c>
      <c r="E420" s="190" t="s">
        <v>1383</v>
      </c>
      <c r="F420" s="91" t="s">
        <v>1286</v>
      </c>
      <c r="G420" s="281" t="s">
        <v>1389</v>
      </c>
      <c r="H420" s="91" t="s">
        <v>1302</v>
      </c>
      <c r="I420" s="91" t="str">
        <f>CONCATENATE("Приложение"," ","№", A420,)</f>
        <v>Приложение №2-ПТ</v>
      </c>
      <c r="J420" s="170" t="s">
        <v>1267</v>
      </c>
      <c r="K420" s="155" t="s">
        <v>195</v>
      </c>
      <c r="L420" s="125" t="s">
        <v>313</v>
      </c>
      <c r="M420" s="83">
        <v>44968</v>
      </c>
      <c r="N420" s="82" t="s">
        <v>224</v>
      </c>
      <c r="O420" s="82" t="s">
        <v>334</v>
      </c>
      <c r="P420" s="82" t="s">
        <v>314</v>
      </c>
      <c r="Q420" s="82" t="s">
        <v>226</v>
      </c>
      <c r="R420" s="82" t="s">
        <v>154</v>
      </c>
      <c r="S420" s="82"/>
    </row>
    <row r="421" spans="1:19" x14ac:dyDescent="0.25">
      <c r="A421" s="420" t="s">
        <v>1388</v>
      </c>
      <c r="B421" s="420"/>
      <c r="C421" s="420"/>
      <c r="D421" s="420"/>
      <c r="E421" s="420"/>
      <c r="F421" s="420"/>
      <c r="G421" s="420"/>
      <c r="H421" s="420"/>
      <c r="I421" s="420"/>
      <c r="J421" s="420"/>
      <c r="K421" s="125"/>
      <c r="L421" s="84"/>
      <c r="M421" s="145"/>
      <c r="N421" s="84"/>
      <c r="O421" s="84"/>
      <c r="P421" s="84"/>
      <c r="Q421" s="84"/>
      <c r="R421" s="84"/>
      <c r="S421" s="84"/>
    </row>
    <row r="422" spans="1:19" s="84" customFormat="1" x14ac:dyDescent="0.25">
      <c r="A422" s="91"/>
      <c r="B422" s="109"/>
      <c r="C422" s="109"/>
      <c r="D422" s="91"/>
      <c r="E422" s="190"/>
      <c r="F422" s="91"/>
      <c r="G422" s="254"/>
      <c r="H422" s="91"/>
      <c r="I422" s="91"/>
      <c r="J422" s="170"/>
      <c r="K422" s="155"/>
      <c r="M422" s="145"/>
    </row>
    <row r="423" spans="1:19" s="84" customFormat="1" x14ac:dyDescent="0.25">
      <c r="A423" s="91"/>
      <c r="B423" s="109"/>
      <c r="C423" s="109"/>
      <c r="D423" s="91"/>
      <c r="E423" s="190"/>
      <c r="F423" s="91"/>
      <c r="G423" s="254"/>
      <c r="H423" s="91"/>
      <c r="I423" s="91"/>
      <c r="J423" s="170"/>
      <c r="K423" s="155"/>
      <c r="M423" s="145"/>
    </row>
    <row r="424" spans="1:19" s="84" customFormat="1" x14ac:dyDescent="0.25">
      <c r="A424" s="91"/>
      <c r="B424" s="109"/>
      <c r="C424" s="109"/>
      <c r="D424" s="91"/>
      <c r="E424" s="190"/>
      <c r="F424" s="91"/>
      <c r="G424" s="254"/>
      <c r="H424" s="91"/>
      <c r="I424" s="91"/>
      <c r="J424" s="170"/>
      <c r="K424" s="155"/>
      <c r="M424" s="145"/>
    </row>
    <row r="425" spans="1:19" s="84" customFormat="1" x14ac:dyDescent="0.25">
      <c r="A425" s="91"/>
      <c r="B425" s="109"/>
      <c r="C425" s="109"/>
      <c r="D425" s="91"/>
      <c r="E425" s="190"/>
      <c r="F425" s="91"/>
      <c r="G425" s="254"/>
      <c r="H425" s="91"/>
      <c r="I425" s="91"/>
      <c r="J425" s="170"/>
      <c r="K425" s="155"/>
      <c r="M425" s="145"/>
    </row>
    <row r="426" spans="1:19" x14ac:dyDescent="0.25">
      <c r="A426" s="434" t="s">
        <v>1363</v>
      </c>
      <c r="B426" s="434"/>
      <c r="C426" s="434"/>
      <c r="D426" s="434"/>
      <c r="E426" s="434"/>
      <c r="F426" s="434"/>
      <c r="G426" s="434"/>
      <c r="H426" s="434"/>
      <c r="I426" s="434"/>
      <c r="J426" s="434"/>
      <c r="K426" s="125"/>
      <c r="L426" s="84"/>
      <c r="M426" s="145"/>
      <c r="N426" s="84"/>
      <c r="O426" s="84"/>
      <c r="P426" s="84"/>
      <c r="Q426" s="84"/>
      <c r="R426" s="84"/>
      <c r="S426" s="84"/>
    </row>
    <row r="427" spans="1:19" ht="60" x14ac:dyDescent="0.25">
      <c r="A427" s="276" t="s">
        <v>1366</v>
      </c>
      <c r="B427" s="95">
        <v>45187</v>
      </c>
      <c r="C427" s="95">
        <v>45183</v>
      </c>
      <c r="D427" s="276" t="s">
        <v>1292</v>
      </c>
      <c r="E427" s="191" t="s">
        <v>1362</v>
      </c>
      <c r="F427" s="276" t="s">
        <v>1268</v>
      </c>
      <c r="G427" s="276" t="s">
        <v>1333</v>
      </c>
      <c r="H427" s="276" t="s">
        <v>1302</v>
      </c>
      <c r="I427" s="276" t="str">
        <f>CONCATENATE("Приложение"," ","№", A427,)</f>
        <v>Приложение №7-ОС</v>
      </c>
      <c r="J427" s="162" t="s">
        <v>1267</v>
      </c>
      <c r="K427" s="125"/>
      <c r="L427" s="84"/>
      <c r="M427" s="145"/>
      <c r="N427" s="84"/>
      <c r="O427" s="84"/>
      <c r="P427" s="84"/>
      <c r="Q427" s="84"/>
      <c r="R427" s="84"/>
      <c r="S427" s="84"/>
    </row>
    <row r="428" spans="1:19" ht="75" x14ac:dyDescent="0.25">
      <c r="A428" s="276" t="s">
        <v>1367</v>
      </c>
      <c r="B428" s="95">
        <v>45183</v>
      </c>
      <c r="C428" s="95">
        <v>45183</v>
      </c>
      <c r="D428" s="276" t="s">
        <v>1293</v>
      </c>
      <c r="E428" s="191" t="s">
        <v>1361</v>
      </c>
      <c r="F428" s="276" t="s">
        <v>1269</v>
      </c>
      <c r="G428" s="276" t="s">
        <v>1355</v>
      </c>
      <c r="H428" s="276" t="s">
        <v>1302</v>
      </c>
      <c r="I428" s="276" t="str">
        <f>CONCATENATE("Приложение"," ","№", A428,)</f>
        <v>Приложение №7-НИ</v>
      </c>
      <c r="J428" s="162" t="s">
        <v>1267</v>
      </c>
      <c r="K428" s="125"/>
      <c r="L428" s="84"/>
      <c r="M428" s="145"/>
      <c r="N428" s="84"/>
      <c r="O428" s="84"/>
      <c r="P428" s="84"/>
      <c r="Q428" s="84"/>
      <c r="R428" s="84"/>
      <c r="S428" s="84"/>
    </row>
    <row r="429" spans="1:19" ht="165" x14ac:dyDescent="0.25">
      <c r="A429" s="276" t="s">
        <v>1368</v>
      </c>
      <c r="B429" s="95">
        <v>45184</v>
      </c>
      <c r="C429" s="95">
        <v>45184</v>
      </c>
      <c r="D429" s="276" t="s">
        <v>1354</v>
      </c>
      <c r="E429" s="157" t="s">
        <v>1364</v>
      </c>
      <c r="F429" s="276" t="s">
        <v>1357</v>
      </c>
      <c r="G429" s="276" t="s">
        <v>1360</v>
      </c>
      <c r="H429" s="276" t="s">
        <v>1302</v>
      </c>
      <c r="I429" s="276" t="str">
        <f>CONCATENATE("Приложение"," ","№", A429,)</f>
        <v>Приложение №7-ННБ</v>
      </c>
      <c r="J429" s="162" t="s">
        <v>1267</v>
      </c>
      <c r="K429" s="125"/>
      <c r="L429" s="84"/>
      <c r="M429" s="145"/>
      <c r="N429" s="84"/>
      <c r="O429" s="84"/>
      <c r="P429" s="84"/>
      <c r="Q429" s="84"/>
      <c r="R429" s="84"/>
      <c r="S429" s="84"/>
    </row>
    <row r="430" spans="1:19" s="84" customFormat="1" ht="210" x14ac:dyDescent="0.25">
      <c r="A430" s="82" t="s">
        <v>1369</v>
      </c>
      <c r="B430" s="236">
        <v>45173</v>
      </c>
      <c r="C430" s="236">
        <v>45173</v>
      </c>
      <c r="D430" s="82" t="s">
        <v>1358</v>
      </c>
      <c r="E430" s="85" t="s">
        <v>1365</v>
      </c>
      <c r="F430" s="82" t="s">
        <v>1286</v>
      </c>
      <c r="G430" s="110" t="s">
        <v>1359</v>
      </c>
      <c r="H430" s="82" t="s">
        <v>1302</v>
      </c>
      <c r="I430" s="82" t="str">
        <f>CONCATENATE("Приложение"," ","№", A430,)</f>
        <v>Приложение №2-ПТ</v>
      </c>
      <c r="J430" s="107" t="s">
        <v>1267</v>
      </c>
      <c r="K430" s="155" t="s">
        <v>195</v>
      </c>
      <c r="L430" s="125" t="s">
        <v>313</v>
      </c>
      <c r="M430" s="83">
        <v>44968</v>
      </c>
      <c r="N430" s="82" t="s">
        <v>224</v>
      </c>
      <c r="O430" s="82" t="s">
        <v>334</v>
      </c>
      <c r="P430" s="82" t="s">
        <v>314</v>
      </c>
      <c r="Q430" s="82" t="s">
        <v>226</v>
      </c>
      <c r="R430" s="82" t="s">
        <v>154</v>
      </c>
      <c r="S430" s="82"/>
    </row>
    <row r="431" spans="1:19" x14ac:dyDescent="0.25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L431" s="84"/>
      <c r="M431" s="145"/>
      <c r="N431" s="84"/>
      <c r="O431" s="84"/>
      <c r="P431" s="84"/>
      <c r="Q431" s="84"/>
      <c r="R431" s="84"/>
      <c r="S431" s="84"/>
    </row>
    <row r="432" spans="1:19" x14ac:dyDescent="0.25">
      <c r="L432" s="84"/>
      <c r="M432" s="145"/>
      <c r="N432" s="84"/>
      <c r="O432" s="84"/>
      <c r="P432" s="84"/>
      <c r="Q432" s="84"/>
      <c r="R432" s="84"/>
      <c r="S432" s="84"/>
    </row>
    <row r="433" spans="7:19" ht="165" x14ac:dyDescent="0.25">
      <c r="G433" s="280" t="s">
        <v>1384</v>
      </c>
      <c r="L433" s="84"/>
      <c r="M433" s="145"/>
      <c r="N433" s="84"/>
      <c r="O433" s="84"/>
      <c r="P433" s="84"/>
      <c r="Q433" s="84"/>
      <c r="R433" s="84"/>
      <c r="S433" s="84"/>
    </row>
  </sheetData>
  <mergeCells count="23">
    <mergeCell ref="A407:K407"/>
    <mergeCell ref="A411:J411"/>
    <mergeCell ref="A416:J416"/>
    <mergeCell ref="A421:J421"/>
    <mergeCell ref="A426:J426"/>
    <mergeCell ref="A398:K398"/>
    <mergeCell ref="A289:S289"/>
    <mergeCell ref="A300:S300"/>
    <mergeCell ref="A313:S313"/>
    <mergeCell ref="A322:S322"/>
    <mergeCell ref="A331:K331"/>
    <mergeCell ref="A340:K340"/>
    <mergeCell ref="A349:K349"/>
    <mergeCell ref="A359:K359"/>
    <mergeCell ref="A370:K370"/>
    <mergeCell ref="A380:K380"/>
    <mergeCell ref="A389:K389"/>
    <mergeCell ref="A278:S278"/>
    <mergeCell ref="A3:J3"/>
    <mergeCell ref="A12:J12"/>
    <mergeCell ref="A16:J16"/>
    <mergeCell ref="A20:J20"/>
    <mergeCell ref="A24:J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13</vt:i4>
      </vt:variant>
    </vt:vector>
  </HeadingPairs>
  <TitlesOfParts>
    <vt:vector size="25" baseType="lpstr">
      <vt:lpstr>Инфо</vt:lpstr>
      <vt:lpstr>Работы</vt:lpstr>
      <vt:lpstr>АКТ</vt:lpstr>
      <vt:lpstr>Спецификация арм.</vt:lpstr>
      <vt:lpstr>Лист3</vt:lpstr>
      <vt:lpstr>Лист2</vt:lpstr>
      <vt:lpstr>Лист5</vt:lpstr>
      <vt:lpstr>Лист2 (2)</vt:lpstr>
      <vt:lpstr>ВК</vt:lpstr>
      <vt:lpstr>Лист1</vt:lpstr>
      <vt:lpstr>Лист4</vt:lpstr>
      <vt:lpstr>Лист6</vt:lpstr>
      <vt:lpstr>ВыпРаботы</vt:lpstr>
      <vt:lpstr>ДатаЗавершения</vt:lpstr>
      <vt:lpstr>ДатаНачала</vt:lpstr>
      <vt:lpstr>ИспМатериал</vt:lpstr>
      <vt:lpstr>НомерАкта</vt:lpstr>
      <vt:lpstr>Нормативка</vt:lpstr>
      <vt:lpstr>АКТ!Область_печати</vt:lpstr>
      <vt:lpstr>ВК!Область_печати</vt:lpstr>
      <vt:lpstr>Письма</vt:lpstr>
      <vt:lpstr>ПоследРаботы</vt:lpstr>
      <vt:lpstr>ПрилДок</vt:lpstr>
      <vt:lpstr>Проект</vt:lpstr>
      <vt:lpstr>Раздел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Ургалкин</dc:creator>
  <cp:lastModifiedBy>AIR</cp:lastModifiedBy>
  <cp:lastPrinted>2023-11-22T10:27:59Z</cp:lastPrinted>
  <dcterms:created xsi:type="dcterms:W3CDTF">2018-09-12T15:54:24Z</dcterms:created>
  <dcterms:modified xsi:type="dcterms:W3CDTF">2024-01-22T18:46:59Z</dcterms:modified>
</cp:coreProperties>
</file>